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표준단어" sheetId="2" state="visible" r:id="rId4"/>
    <sheet name="표준도메인" sheetId="3" state="visible" r:id="rId5"/>
    <sheet name="표준용어" sheetId="4" state="visible" r:id="rId6"/>
    <sheet name="표준코드" sheetId="5" state="visible" r:id="rId7"/>
    <sheet name="변경이력" sheetId="6" state="visible" r:id="rId8"/>
  </sheets>
  <definedNames>
    <definedName function="false" hidden="true" localSheetId="5" name="_xlnm._FilterDatabase" vbProcedure="false">변경이력!$A$1:$D$4</definedName>
    <definedName function="false" hidden="true" localSheetId="1" name="_xlnm._FilterDatabase" vbProcedure="false">표준단어!$A$1:$G$58</definedName>
    <definedName function="false" hidden="true" localSheetId="2" name="_xlnm._FilterDatabase" vbProcedure="false">표준도메인!$A$1:$H$15</definedName>
    <definedName function="false" hidden="true" localSheetId="3" name="_xlnm._FilterDatabase" vbProcedure="false">표준용어!$A$1:$H$58</definedName>
    <definedName function="false" hidden="true" localSheetId="4" name="_xlnm._FilterDatabase" vbProcedure="false">표준코드!$A$1:$F$36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<sst xmlns="http://schemas.openxmlformats.org/spreadsheetml/2006/main" count="858" uniqueCount="604">
  <si>
    <t xml:space="preserve">데이터 표준 사전</t>
  </si>
  <si>
    <t xml:space="preserve">구성</t>
  </si>
  <si>
    <r>
      <rPr>
        <sz val="10"/>
        <rFont val="Noto Sans CJK SC"/>
        <family val="2"/>
      </rPr>
      <t xml:space="preserve">표준단어 → 표준도메인 → 표준용어 순으로 정의하고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코드값은 표준코드 시트에서 관리한다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</si>
  <si>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명명 규칙 </t>
    </r>
    <r>
      <rPr>
        <b val="true"/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</si>
  <si>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물리명은 영문 대문자 약어를 밑줄</t>
    </r>
    <r>
      <rPr>
        <sz val="10"/>
        <rFont val="Arial"/>
        <family val="0"/>
        <charset val="1"/>
      </rPr>
      <t xml:space="preserve">(_)</t>
    </r>
    <r>
      <rPr>
        <sz val="10"/>
        <rFont val="Noto Sans CJK SC"/>
        <family val="2"/>
      </rPr>
      <t xml:space="preserve">로 연결한다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주문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일시 </t>
    </r>
    <r>
      <rPr>
        <sz val="10"/>
        <rFont val="Arial"/>
        <family val="0"/>
        <charset val="1"/>
      </rPr>
      <t xml:space="preserve">= ORD_DTM</t>
    </r>
  </si>
  <si>
    <r>
      <rPr>
        <b val="true"/>
        <sz val="10"/>
        <rFont val="Noto Sans CJK SC"/>
        <family val="2"/>
      </rPr>
      <t xml:space="preserve">명명 규칙 </t>
    </r>
    <r>
      <rPr>
        <b val="true"/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</si>
  <si>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모든 표준용어는 분류어</t>
    </r>
    <r>
      <rPr>
        <sz val="10"/>
        <rFont val="Arial"/>
        <family val="0"/>
        <charset val="1"/>
      </rPr>
      <t xml:space="preserve">(ID, </t>
    </r>
    <r>
      <rPr>
        <sz val="10"/>
        <rFont val="Noto Sans CJK SC"/>
        <family val="2"/>
      </rPr>
      <t xml:space="preserve">번호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금액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수량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끝나며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분류어가 도메인을 결정한다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</si>
  <si>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명명 규칙 </t>
    </r>
    <r>
      <rPr>
        <b val="true"/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</si>
  <si>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같은 의미의 단어는 하나만 표준으로 쓰고 나머지는 금칙어로 등록한다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변동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표준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금칙어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</si>
  <si>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명명 규칙 </t>
    </r>
    <r>
      <rPr>
        <b val="true"/>
        <sz val="1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</si>
  <si>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원천 시스템의 식별자는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원천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단어를 붙여 대체키와 구분한다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원천주문번호 </t>
    </r>
    <r>
      <rPr>
        <sz val="10"/>
        <rFont val="Arial"/>
        <family val="0"/>
        <charset val="1"/>
      </rPr>
      <t xml:space="preserve">SRC_ORD_NO</t>
    </r>
  </si>
  <si>
    <r>
      <rPr>
        <b val="true"/>
        <sz val="10"/>
        <rFont val="Noto Sans CJK SC"/>
        <family val="2"/>
      </rPr>
      <t xml:space="preserve">명명 규칙 </t>
    </r>
    <r>
      <rPr>
        <b val="true"/>
        <sz val="10"/>
        <rFont val="Arial"/>
        <family val="0"/>
        <charset val="1"/>
      </rPr>
      <t xml:space="preserve">5</t>
    </r>
  </si>
  <si>
    <r>
      <rPr>
        <sz val="10"/>
        <rFont val="Noto Sans CJK SC"/>
        <family val="2"/>
      </rPr>
      <t xml:space="preserve">표준 사전과 </t>
    </r>
    <r>
      <rPr>
        <sz val="10"/>
        <rFont val="Arial"/>
        <family val="0"/>
        <charset val="1"/>
      </rPr>
      <t xml:space="preserve">ERD</t>
    </r>
    <r>
      <rPr>
        <sz val="10"/>
        <rFont val="Noto Sans CJK SC"/>
        <family val="2"/>
      </rPr>
      <t xml:space="preserve">는 대문자로 표기하고</t>
    </r>
    <r>
      <rPr>
        <sz val="10"/>
        <rFont val="Arial"/>
        <family val="0"/>
        <charset val="1"/>
      </rPr>
      <t xml:space="preserve">, MySQL</t>
    </r>
    <r>
      <rPr>
        <sz val="10"/>
        <rFont val="Noto Sans CJK SC"/>
        <family val="2"/>
      </rPr>
      <t xml:space="preserve">에는 소문자로 생성한다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한글 논리명은 컬럼 </t>
    </r>
    <r>
      <rPr>
        <sz val="10"/>
        <rFont val="Arial"/>
        <family val="0"/>
        <charset val="1"/>
      </rPr>
      <t xml:space="preserve">COMMENT</t>
    </r>
    <r>
      <rPr>
        <sz val="10"/>
        <rFont val="Noto Sans CJK SC"/>
        <family val="2"/>
      </rPr>
      <t xml:space="preserve">로 남긴다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</si>
  <si>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대상 </t>
    </r>
    <r>
      <rPr>
        <b val="true"/>
        <sz val="10"/>
        <rFont val="Arial"/>
        <family val="0"/>
        <charset val="1"/>
      </rPr>
      <t xml:space="preserve">DBMS</t>
    </r>
  </si>
  <si>
    <t xml:space="preserve">MySQL</t>
  </si>
  <si>
    <t xml:space="preserve">시트 사용법</t>
  </si>
  <si>
    <r>
      <rPr>
        <sz val="10"/>
        <rFont val="Noto Sans CJK SC"/>
        <family val="2"/>
      </rPr>
      <t xml:space="preserve">표준용어 시트의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데이터타입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열은 표준도메인 시트에서 자동으로 조회된다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도메인의 타입을 바꾸면 해당 도메인을 쓰는 모든 용어의 타입이 함께 바뀐다</t>
    </r>
    <r>
      <rPr>
        <sz val="10"/>
        <rFont val="Arial"/>
        <family val="0"/>
        <charset val="1"/>
      </rPr>
      <t xml:space="preserve">.</t>
    </r>
  </si>
  <si>
    <t xml:space="preserve">색상</t>
  </si>
  <si>
    <r>
      <rPr>
        <sz val="10"/>
        <rFont val="Noto Sans CJK SC"/>
        <family val="2"/>
      </rPr>
      <t xml:space="preserve">노란색 행은 분류어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도메인을 결정하는 단어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이다</t>
    </r>
    <r>
      <rPr>
        <sz val="10"/>
        <rFont val="Arial"/>
        <family val="0"/>
        <charset val="1"/>
      </rPr>
      <t xml:space="preserve">.</t>
    </r>
  </si>
  <si>
    <t xml:space="preserve">관련 문서</t>
  </si>
  <si>
    <r>
      <rPr>
        <sz val="10"/>
        <rFont val="Arial"/>
        <family val="0"/>
        <charset val="1"/>
      </rPr>
      <t xml:space="preserve">decision_log.md (</t>
    </r>
    <r>
      <rPr>
        <sz val="10"/>
        <rFont val="Noto Sans CJK SC"/>
        <family val="2"/>
      </rPr>
      <t xml:space="preserve">설계 의사결정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변경이력 시트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표준화 과정에서 바뀐 속성명</t>
    </r>
    <r>
      <rPr>
        <sz val="10"/>
        <rFont val="Arial"/>
        <family val="0"/>
        <charset val="1"/>
      </rPr>
      <t xml:space="preserve">)</t>
    </r>
  </si>
  <si>
    <t xml:space="preserve">No</t>
  </si>
  <si>
    <t xml:space="preserve">표준단어</t>
  </si>
  <si>
    <t xml:space="preserve">영문약어</t>
  </si>
  <si>
    <t xml:space="preserve">영문명</t>
  </si>
  <si>
    <t xml:space="preserve">분류어여부</t>
  </si>
  <si>
    <r>
      <rPr>
        <b val="true"/>
        <sz val="10"/>
        <color rgb="FFFFFFFF"/>
        <rFont val="Noto Sans CJK SC"/>
        <family val="2"/>
      </rPr>
      <t xml:space="preserve">금칙어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이음동의어</t>
    </r>
  </si>
  <si>
    <t xml:space="preserve">설명</t>
  </si>
  <si>
    <t xml:space="preserve">ID</t>
  </si>
  <si>
    <t xml:space="preserve">Identifier</t>
  </si>
  <si>
    <t xml:space="preserve">Y</t>
  </si>
  <si>
    <t xml:space="preserve">대체키 식별자</t>
  </si>
  <si>
    <t xml:space="preserve">번호</t>
  </si>
  <si>
    <t xml:space="preserve">NO</t>
  </si>
  <si>
    <t xml:space="preserve">Number</t>
  </si>
  <si>
    <r>
      <rPr>
        <sz val="10"/>
        <rFont val="Noto Sans CJK SC"/>
        <family val="2"/>
      </rPr>
      <t xml:space="preserve">원천 식별자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우편번호 등 문자형 번호</t>
    </r>
  </si>
  <si>
    <t xml:space="preserve">코드</t>
  </si>
  <si>
    <t xml:space="preserve">CD</t>
  </si>
  <si>
    <t xml:space="preserve">Code</t>
  </si>
  <si>
    <t xml:space="preserve">표준코드 시트에 값이 정의된 속성</t>
  </si>
  <si>
    <t xml:space="preserve">명</t>
  </si>
  <si>
    <t xml:space="preserve">NM</t>
  </si>
  <si>
    <t xml:space="preserve">Name</t>
  </si>
  <si>
    <t xml:space="preserve">이름</t>
  </si>
  <si>
    <t xml:space="preserve">명칭</t>
  </si>
  <si>
    <t xml:space="preserve">일시</t>
  </si>
  <si>
    <t xml:space="preserve">DTM</t>
  </si>
  <si>
    <t xml:space="preserve">Datetime</t>
  </si>
  <si>
    <r>
      <rPr>
        <sz val="10"/>
        <rFont val="Noto Sans CJK SC"/>
        <family val="2"/>
      </rPr>
      <t xml:space="preserve">시각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시간</t>
    </r>
  </si>
  <si>
    <t xml:space="preserve">날짜와 시각</t>
  </si>
  <si>
    <t xml:space="preserve">일자</t>
  </si>
  <si>
    <t xml:space="preserve">DT</t>
  </si>
  <si>
    <t xml:space="preserve">Date</t>
  </si>
  <si>
    <t xml:space="preserve">날짜</t>
  </si>
  <si>
    <t xml:space="preserve">날짜만</t>
  </si>
  <si>
    <t xml:space="preserve">금액</t>
  </si>
  <si>
    <t xml:space="preserve">AMT</t>
  </si>
  <si>
    <t xml:space="preserve">Amount</t>
  </si>
  <si>
    <t xml:space="preserve">액</t>
  </si>
  <si>
    <t xml:space="preserve">화폐 금액</t>
  </si>
  <si>
    <t xml:space="preserve">정가</t>
  </si>
  <si>
    <t xml:space="preserve">LPRC</t>
  </si>
  <si>
    <t xml:space="preserve">List Price</t>
  </si>
  <si>
    <t xml:space="preserve">소비자가</t>
  </si>
  <si>
    <t xml:space="preserve">상품의 정상 판매가격</t>
  </si>
  <si>
    <t xml:space="preserve">단가</t>
  </si>
  <si>
    <t xml:space="preserve">UPRC</t>
  </si>
  <si>
    <t xml:space="preserve">Unit Price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</si>
  <si>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개당 가격</t>
    </r>
  </si>
  <si>
    <t xml:space="preserve">비</t>
  </si>
  <si>
    <t xml:space="preserve">FEE</t>
  </si>
  <si>
    <t xml:space="preserve">Fee</t>
  </si>
  <si>
    <r>
      <rPr>
        <sz val="10"/>
        <rFont val="Noto Sans CJK SC"/>
        <family val="2"/>
      </rPr>
      <t xml:space="preserve">비용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료</t>
    </r>
  </si>
  <si>
    <r>
      <rPr>
        <sz val="10"/>
        <rFont val="Noto Sans CJK SC"/>
        <family val="2"/>
      </rPr>
      <t xml:space="preserve">수수료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운임 성격의 금액</t>
    </r>
  </si>
  <si>
    <t xml:space="preserve">수량</t>
  </si>
  <si>
    <t xml:space="preserve">QTY</t>
  </si>
  <si>
    <t xml:space="preserve">Quantity</t>
  </si>
  <si>
    <t xml:space="preserve">개수</t>
  </si>
  <si>
    <t xml:space="preserve">상품 개수</t>
  </si>
  <si>
    <t xml:space="preserve">순번</t>
  </si>
  <si>
    <t xml:space="preserve">SEQ</t>
  </si>
  <si>
    <t xml:space="preserve">Sequence</t>
  </si>
  <si>
    <t xml:space="preserve">일련번호</t>
  </si>
  <si>
    <t xml:space="preserve">상위 키 안에서의 순서</t>
  </si>
  <si>
    <t xml:space="preserve">수</t>
  </si>
  <si>
    <t xml:space="preserve">CNT</t>
  </si>
  <si>
    <t xml:space="preserve">Count</t>
  </si>
  <si>
    <r>
      <rPr>
        <sz val="10"/>
        <rFont val="Noto Sans CJK SC"/>
        <family val="2"/>
      </rPr>
      <t xml:space="preserve">횟수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개월 등 개수</t>
    </r>
  </si>
  <si>
    <t xml:space="preserve">레벨</t>
  </si>
  <si>
    <t xml:space="preserve">LVL</t>
  </si>
  <si>
    <t xml:space="preserve">Level</t>
  </si>
  <si>
    <r>
      <rPr>
        <sz val="10"/>
        <rFont val="Noto Sans CJK SC"/>
        <family val="2"/>
      </rPr>
      <t xml:space="preserve">단계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깊이</t>
    </r>
  </si>
  <si>
    <t xml:space="preserve">계층 단계</t>
  </si>
  <si>
    <t xml:space="preserve">중량</t>
  </si>
  <si>
    <t xml:space="preserve">WT</t>
  </si>
  <si>
    <t xml:space="preserve">Weight</t>
  </si>
  <si>
    <t xml:space="preserve">무게</t>
  </si>
  <si>
    <r>
      <rPr>
        <sz val="10"/>
        <rFont val="Noto Sans CJK SC"/>
        <family val="2"/>
      </rPr>
      <t xml:space="preserve">그램</t>
    </r>
    <r>
      <rPr>
        <sz val="10"/>
        <rFont val="Arial"/>
        <family val="0"/>
        <charset val="1"/>
      </rPr>
      <t xml:space="preserve">(g) </t>
    </r>
    <r>
      <rPr>
        <sz val="10"/>
        <rFont val="Noto Sans CJK SC"/>
        <family val="2"/>
      </rPr>
      <t xml:space="preserve">단위</t>
    </r>
  </si>
  <si>
    <t xml:space="preserve">길이</t>
  </si>
  <si>
    <t xml:space="preserve">LEN</t>
  </si>
  <si>
    <t xml:space="preserve">Length</t>
  </si>
  <si>
    <r>
      <rPr>
        <sz val="10"/>
        <rFont val="Noto Sans CJK SC"/>
        <family val="2"/>
      </rPr>
      <t xml:space="preserve">센티미터</t>
    </r>
    <r>
      <rPr>
        <sz val="10"/>
        <rFont val="Arial"/>
        <family val="0"/>
        <charset val="1"/>
      </rPr>
      <t xml:space="preserve">(cm) </t>
    </r>
    <r>
      <rPr>
        <sz val="10"/>
        <rFont val="Noto Sans CJK SC"/>
        <family val="2"/>
      </rPr>
      <t xml:space="preserve">단위</t>
    </r>
  </si>
  <si>
    <t xml:space="preserve">높이</t>
  </si>
  <si>
    <t xml:space="preserve">HGT</t>
  </si>
  <si>
    <t xml:space="preserve">Height</t>
  </si>
  <si>
    <t xml:space="preserve">너비</t>
  </si>
  <si>
    <t xml:space="preserve">WDT</t>
  </si>
  <si>
    <t xml:space="preserve">Width</t>
  </si>
  <si>
    <t xml:space="preserve">폭</t>
  </si>
  <si>
    <t xml:space="preserve">회원</t>
  </si>
  <si>
    <t xml:space="preserve">MBR</t>
  </si>
  <si>
    <t xml:space="preserve">Member</t>
  </si>
  <si>
    <t xml:space="preserve">N</t>
  </si>
  <si>
    <t xml:space="preserve">원천</t>
  </si>
  <si>
    <t xml:space="preserve">SRC</t>
  </si>
  <si>
    <t xml:space="preserve">Source</t>
  </si>
  <si>
    <r>
      <rPr>
        <sz val="10"/>
        <rFont val="Noto Sans CJK SC"/>
        <family val="2"/>
      </rPr>
      <t xml:space="preserve">원천 시스템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온라인몰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값</t>
    </r>
  </si>
  <si>
    <t xml:space="preserve">가입</t>
  </si>
  <si>
    <t xml:space="preserve">JOIN</t>
  </si>
  <si>
    <t xml:space="preserve">Join</t>
  </si>
  <si>
    <t xml:space="preserve">채널</t>
  </si>
  <si>
    <t xml:space="preserve">CHNL</t>
  </si>
  <si>
    <t xml:space="preserve">Channel</t>
  </si>
  <si>
    <t xml:space="preserve">우편</t>
  </si>
  <si>
    <t xml:space="preserve">ZIP</t>
  </si>
  <si>
    <t xml:space="preserve">Zip</t>
  </si>
  <si>
    <t xml:space="preserve">우편번호 구성 단어</t>
  </si>
  <si>
    <t xml:space="preserve">도시</t>
  </si>
  <si>
    <t xml:space="preserve">CITY</t>
  </si>
  <si>
    <t xml:space="preserve">City</t>
  </si>
  <si>
    <t xml:space="preserve">주</t>
  </si>
  <si>
    <t xml:space="preserve">ST</t>
  </si>
  <si>
    <t xml:space="preserve">State</t>
  </si>
  <si>
    <r>
      <rPr>
        <sz val="10"/>
        <rFont val="Noto Sans CJK SC"/>
        <family val="2"/>
      </rPr>
      <t xml:space="preserve">행정구역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</si>
  <si>
    <t xml:space="preserve">브랜드</t>
  </si>
  <si>
    <t xml:space="preserve">BRND</t>
  </si>
  <si>
    <t xml:space="preserve">Brand</t>
  </si>
  <si>
    <t xml:space="preserve">카테고리</t>
  </si>
  <si>
    <t xml:space="preserve">CTGR</t>
  </si>
  <si>
    <t xml:space="preserve">Category</t>
  </si>
  <si>
    <t xml:space="preserve">분류</t>
  </si>
  <si>
    <t xml:space="preserve">상위</t>
  </si>
  <si>
    <t xml:space="preserve">UPPR</t>
  </si>
  <si>
    <t xml:space="preserve">Upper</t>
  </si>
  <si>
    <t xml:space="preserve">부모</t>
  </si>
  <si>
    <t xml:space="preserve">상품</t>
  </si>
  <si>
    <t xml:space="preserve">PRD</t>
  </si>
  <si>
    <t xml:space="preserve">Product</t>
  </si>
  <si>
    <t xml:space="preserve">제품</t>
  </si>
  <si>
    <t xml:space="preserve">옵션</t>
  </si>
  <si>
    <t xml:space="preserve">OPT</t>
  </si>
  <si>
    <t xml:space="preserve">Option</t>
  </si>
  <si>
    <t xml:space="preserve">매장</t>
  </si>
  <si>
    <t xml:space="preserve">STR</t>
  </si>
  <si>
    <t xml:space="preserve">Store</t>
  </si>
  <si>
    <r>
      <rPr>
        <sz val="10"/>
        <rFont val="Noto Sans CJK SC"/>
        <family val="2"/>
      </rPr>
      <t xml:space="preserve">점포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스토어</t>
    </r>
  </si>
  <si>
    <t xml:space="preserve">개점</t>
  </si>
  <si>
    <t xml:space="preserve">OPEN</t>
  </si>
  <si>
    <t xml:space="preserve">Open</t>
  </si>
  <si>
    <t xml:space="preserve">오픈</t>
  </si>
  <si>
    <t xml:space="preserve">재고</t>
  </si>
  <si>
    <t xml:space="preserve">STCK</t>
  </si>
  <si>
    <t xml:space="preserve">Stock</t>
  </si>
  <si>
    <t xml:space="preserve">상태</t>
  </si>
  <si>
    <t xml:space="preserve">STAT</t>
  </si>
  <si>
    <t xml:space="preserve">Status</t>
  </si>
  <si>
    <t xml:space="preserve">최종</t>
  </si>
  <si>
    <t xml:space="preserve">LAST</t>
  </si>
  <si>
    <t xml:space="preserve">Last</t>
  </si>
  <si>
    <t xml:space="preserve">마지막</t>
  </si>
  <si>
    <t xml:space="preserve">변동</t>
  </si>
  <si>
    <t xml:space="preserve">CHG</t>
  </si>
  <si>
    <t xml:space="preserve">Change</t>
  </si>
  <si>
    <t xml:space="preserve">변경</t>
  </si>
  <si>
    <r>
      <rPr>
        <sz val="10"/>
        <rFont val="Noto Sans CJK SC"/>
        <family val="2"/>
      </rPr>
      <t xml:space="preserve">재고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상태의 변화</t>
    </r>
  </si>
  <si>
    <t xml:space="preserve">유형</t>
  </si>
  <si>
    <t xml:space="preserve">TYPE</t>
  </si>
  <si>
    <t xml:space="preserve">Type</t>
  </si>
  <si>
    <t xml:space="preserve">종류</t>
  </si>
  <si>
    <t xml:space="preserve">조정</t>
  </si>
  <si>
    <t xml:space="preserve">ADJ</t>
  </si>
  <si>
    <t xml:space="preserve">Adjustment</t>
  </si>
  <si>
    <t xml:space="preserve">사유</t>
  </si>
  <si>
    <t xml:space="preserve">RSN</t>
  </si>
  <si>
    <t xml:space="preserve">Reason</t>
  </si>
  <si>
    <t xml:space="preserve">원인</t>
  </si>
  <si>
    <t xml:space="preserve">주문</t>
  </si>
  <si>
    <t xml:space="preserve">ORD</t>
  </si>
  <si>
    <t xml:space="preserve">Order</t>
  </si>
  <si>
    <t xml:space="preserve">오더</t>
  </si>
  <si>
    <t xml:space="preserve">상세</t>
  </si>
  <si>
    <t xml:space="preserve">DTL</t>
  </si>
  <si>
    <t xml:space="preserve">Detail</t>
  </si>
  <si>
    <r>
      <rPr>
        <sz val="10"/>
        <rFont val="Noto Sans CJK SC"/>
        <family val="2"/>
      </rPr>
      <t xml:space="preserve">항목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아이템</t>
    </r>
  </si>
  <si>
    <t xml:space="preserve">판매</t>
  </si>
  <si>
    <t xml:space="preserve">SALE</t>
  </si>
  <si>
    <t xml:space="preserve">Sale</t>
  </si>
  <si>
    <t xml:space="preserve">결제</t>
  </si>
  <si>
    <t xml:space="preserve">PAY</t>
  </si>
  <si>
    <t xml:space="preserve">Payment</t>
  </si>
  <si>
    <t xml:space="preserve">지불</t>
  </si>
  <si>
    <t xml:space="preserve">승인</t>
  </si>
  <si>
    <t xml:space="preserve">APRV</t>
  </si>
  <si>
    <t xml:space="preserve">Approval</t>
  </si>
  <si>
    <t xml:space="preserve">수단</t>
  </si>
  <si>
    <t xml:space="preserve">MTHD</t>
  </si>
  <si>
    <t xml:space="preserve">Method</t>
  </si>
  <si>
    <t xml:space="preserve">방법</t>
  </si>
  <si>
    <t xml:space="preserve">할부</t>
  </si>
  <si>
    <t xml:space="preserve">INSTL</t>
  </si>
  <si>
    <t xml:space="preserve">Installment</t>
  </si>
  <si>
    <t xml:space="preserve">개월</t>
  </si>
  <si>
    <t xml:space="preserve">MON</t>
  </si>
  <si>
    <t xml:space="preserve">Month</t>
  </si>
  <si>
    <t xml:space="preserve">포장</t>
  </si>
  <si>
    <t xml:space="preserve">PACK</t>
  </si>
  <si>
    <t xml:space="preserve">Packing</t>
  </si>
  <si>
    <t xml:space="preserve">완료</t>
  </si>
  <si>
    <t xml:space="preserve">CMPL</t>
  </si>
  <si>
    <t xml:space="preserve">Complete</t>
  </si>
  <si>
    <t xml:space="preserve">택배</t>
  </si>
  <si>
    <t xml:space="preserve">PRCL</t>
  </si>
  <si>
    <t xml:space="preserve">Parcel</t>
  </si>
  <si>
    <t xml:space="preserve">택배사</t>
  </si>
  <si>
    <t xml:space="preserve">인계</t>
  </si>
  <si>
    <t xml:space="preserve">HNDV</t>
  </si>
  <si>
    <t xml:space="preserve">Handover</t>
  </si>
  <si>
    <t xml:space="preserve">택배사에 넘김</t>
  </si>
  <si>
    <t xml:space="preserve">수령</t>
  </si>
  <si>
    <t xml:space="preserve">RCV</t>
  </si>
  <si>
    <t xml:space="preserve">Receive</t>
  </si>
  <si>
    <r>
      <rPr>
        <sz val="10"/>
        <rFont val="Noto Sans CJK SC"/>
        <family val="2"/>
      </rPr>
      <t xml:space="preserve">인도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도착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배송완료</t>
    </r>
  </si>
  <si>
    <r>
      <rPr>
        <sz val="10"/>
        <rFont val="Noto Sans CJK SC"/>
        <family val="2"/>
      </rPr>
      <t xml:space="preserve">고객이 상품을 받음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모든 채널 공통 </t>
    </r>
    <r>
      <rPr>
        <sz val="10"/>
        <rFont val="Arial"/>
        <family val="0"/>
        <charset val="1"/>
      </rPr>
      <t xml:space="preserve">(D-022)</t>
    </r>
  </si>
  <si>
    <t xml:space="preserve">이력</t>
  </si>
  <si>
    <t xml:space="preserve">HIST</t>
  </si>
  <si>
    <t xml:space="preserve">History</t>
  </si>
  <si>
    <t xml:space="preserve">내역</t>
  </si>
  <si>
    <t xml:space="preserve">테이블명 구성 단어</t>
  </si>
  <si>
    <t xml:space="preserve">예상</t>
  </si>
  <si>
    <t xml:space="preserve">EST</t>
  </si>
  <si>
    <t xml:space="preserve">Estimated</t>
  </si>
  <si>
    <t xml:space="preserve">예정</t>
  </si>
  <si>
    <t xml:space="preserve">취소</t>
  </si>
  <si>
    <t xml:space="preserve">CNCL</t>
  </si>
  <si>
    <t xml:space="preserve">Cancel</t>
  </si>
  <si>
    <t xml:space="preserve">배송</t>
  </si>
  <si>
    <t xml:space="preserve">SHIP</t>
  </si>
  <si>
    <t xml:space="preserve">Shipping</t>
  </si>
  <si>
    <t xml:space="preserve">배송 과정</t>
  </si>
  <si>
    <t xml:space="preserve">배송지</t>
  </si>
  <si>
    <t xml:space="preserve">SHPTO</t>
  </si>
  <si>
    <t xml:space="preserve">Ship-to</t>
  </si>
  <si>
    <t xml:space="preserve">수령지</t>
  </si>
  <si>
    <t xml:space="preserve">배송 받을 주소</t>
  </si>
  <si>
    <t xml:space="preserve">도메인명</t>
  </si>
  <si>
    <t xml:space="preserve">분류어</t>
  </si>
  <si>
    <t xml:space="preserve">데이터타입</t>
  </si>
  <si>
    <t xml:space="preserve">소수점</t>
  </si>
  <si>
    <t xml:space="preserve">타입표현</t>
  </si>
  <si>
    <t xml:space="preserve">ID_N</t>
  </si>
  <si>
    <t xml:space="preserve">BIGINT</t>
  </si>
  <si>
    <t xml:space="preserve">대체키 일련번호</t>
  </si>
  <si>
    <t xml:space="preserve">NO_V32</t>
  </si>
  <si>
    <t xml:space="preserve">VARCHAR</t>
  </si>
  <si>
    <r>
      <rPr>
        <sz val="10"/>
        <rFont val="Noto Sans CJK SC"/>
        <family val="2"/>
      </rPr>
      <t xml:space="preserve">원천 시스템 식별자 </t>
    </r>
    <r>
      <rPr>
        <sz val="10"/>
        <rFont val="Arial"/>
        <family val="0"/>
        <charset val="1"/>
      </rPr>
      <t xml:space="preserve">(32</t>
    </r>
    <r>
      <rPr>
        <sz val="10"/>
        <rFont val="Noto Sans CJK SC"/>
        <family val="2"/>
      </rPr>
      <t xml:space="preserve">자리 해시값</t>
    </r>
    <r>
      <rPr>
        <sz val="10"/>
        <rFont val="Arial"/>
        <family val="0"/>
        <charset val="1"/>
      </rPr>
      <t xml:space="preserve">)</t>
    </r>
  </si>
  <si>
    <t xml:space="preserve">NO_V10</t>
  </si>
  <si>
    <r>
      <rPr>
        <sz val="10"/>
        <rFont val="Noto Sans CJK SC"/>
        <family val="2"/>
      </rPr>
      <t xml:space="preserve">우편번호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앞자리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보존을 위해 문자형</t>
    </r>
  </si>
  <si>
    <t xml:space="preserve">CD_V20</t>
  </si>
  <si>
    <t xml:space="preserve">표준코드 값</t>
  </si>
  <si>
    <t xml:space="preserve">NM_V100</t>
  </si>
  <si>
    <t xml:space="preserve">DATETIME</t>
  </si>
  <si>
    <r>
      <rPr>
        <sz val="10"/>
        <rFont val="Noto Sans CJK SC"/>
        <family val="2"/>
      </rPr>
      <t xml:space="preserve">날짜와 시각</t>
    </r>
    <r>
      <rPr>
        <sz val="10"/>
        <rFont val="Arial"/>
        <family val="0"/>
        <charset val="1"/>
      </rPr>
      <t xml:space="preserve">. MySQL TIMESTAMP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2038</t>
    </r>
    <r>
      <rPr>
        <sz val="10"/>
        <rFont val="Noto Sans CJK SC"/>
        <family val="2"/>
      </rPr>
      <t xml:space="preserve">년 제한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시간대 변환이 있어 </t>
    </r>
    <r>
      <rPr>
        <sz val="10"/>
        <rFont val="Arial"/>
        <family val="0"/>
        <charset val="1"/>
      </rPr>
      <t xml:space="preserve">DATETIME </t>
    </r>
    <r>
      <rPr>
        <sz val="10"/>
        <rFont val="Noto Sans CJK SC"/>
        <family val="2"/>
      </rPr>
      <t xml:space="preserve">사용</t>
    </r>
  </si>
  <si>
    <t xml:space="preserve">DATE</t>
  </si>
  <si>
    <t xml:space="preserve">AMT_N12_2</t>
  </si>
  <si>
    <r>
      <rPr>
        <sz val="10"/>
        <rFont val="Noto Sans CJK SC"/>
        <family val="2"/>
      </rPr>
      <t xml:space="preserve">금액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</t>
    </r>
  </si>
  <si>
    <t xml:space="preserve">DECIMAL</t>
  </si>
  <si>
    <r>
      <rPr>
        <sz val="10"/>
        <rFont val="Noto Sans CJK SC"/>
        <family val="2"/>
      </rPr>
      <t xml:space="preserve">화폐 금액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통화 </t>
    </r>
    <r>
      <rPr>
        <sz val="10"/>
        <rFont val="Arial"/>
        <family val="0"/>
        <charset val="1"/>
      </rPr>
      <t xml:space="preserve">BRL, D-016)</t>
    </r>
  </si>
  <si>
    <t xml:space="preserve">QTY_N</t>
  </si>
  <si>
    <t xml:space="preserve">INTEGER</t>
  </si>
  <si>
    <t xml:space="preserve">변동수량은 음수 허용</t>
  </si>
  <si>
    <t xml:space="preserve">SEQ_N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</si>
  <si>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부터 시작</t>
    </r>
  </si>
  <si>
    <t xml:space="preserve">CNT_N</t>
  </si>
  <si>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이상</t>
    </r>
  </si>
  <si>
    <t xml:space="preserve">LVL_N</t>
  </si>
  <si>
    <t xml:space="preserve">SMALLINT</t>
  </si>
  <si>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대분류 </t>
    </r>
    <r>
      <rPr>
        <sz val="10"/>
        <rFont val="Arial"/>
        <family val="0"/>
        <charset val="1"/>
      </rPr>
      <t xml:space="preserve">/ 2 </t>
    </r>
    <r>
      <rPr>
        <sz val="10"/>
        <rFont val="Noto Sans CJK SC"/>
        <family val="2"/>
      </rPr>
      <t xml:space="preserve">중분류</t>
    </r>
  </si>
  <si>
    <t xml:space="preserve">WT_N</t>
  </si>
  <si>
    <r>
      <rPr>
        <sz val="10"/>
        <rFont val="Noto Sans CJK SC"/>
        <family val="2"/>
      </rPr>
      <t xml:space="preserve">단위 </t>
    </r>
    <r>
      <rPr>
        <sz val="10"/>
        <rFont val="Arial"/>
        <family val="0"/>
        <charset val="1"/>
      </rPr>
      <t xml:space="preserve">g</t>
    </r>
  </si>
  <si>
    <t xml:space="preserve">LEN_N</t>
  </si>
  <si>
    <r>
      <rPr>
        <sz val="10"/>
        <rFont val="Noto Sans CJK SC"/>
        <family val="2"/>
      </rPr>
      <t xml:space="preserve">길이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높이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너비</t>
    </r>
  </si>
  <si>
    <r>
      <rPr>
        <sz val="10"/>
        <rFont val="Noto Sans CJK SC"/>
        <family val="2"/>
      </rPr>
      <t xml:space="preserve">단위 </t>
    </r>
    <r>
      <rPr>
        <sz val="10"/>
        <rFont val="Arial"/>
        <family val="0"/>
        <charset val="1"/>
      </rPr>
      <t xml:space="preserve">cm</t>
    </r>
  </si>
  <si>
    <t xml:space="preserve">표준용어</t>
  </si>
  <si>
    <t xml:space="preserve">물리명</t>
  </si>
  <si>
    <t xml:space="preserve">구성단어</t>
  </si>
  <si>
    <t xml:space="preserve">사용테이블</t>
  </si>
  <si>
    <r>
      <rPr>
        <sz val="10"/>
        <rFont val="Noto Sans CJK SC"/>
        <family val="2"/>
      </rPr>
      <t xml:space="preserve">회원</t>
    </r>
    <r>
      <rPr>
        <sz val="10"/>
        <rFont val="Arial"/>
        <family val="0"/>
        <charset val="1"/>
      </rPr>
      <t xml:space="preserve">ID</t>
    </r>
  </si>
  <si>
    <t xml:space="preserve">MBR_ID</t>
  </si>
  <si>
    <r>
      <rPr>
        <sz val="10"/>
        <rFont val="Noto Sans CJK SC"/>
        <family val="2"/>
      </rPr>
      <t xml:space="preserve">회원</t>
    </r>
    <r>
      <rPr>
        <sz val="10"/>
        <rFont val="Arial"/>
        <family val="0"/>
        <charset val="1"/>
      </rPr>
      <t xml:space="preserve">+ID</t>
    </r>
  </si>
  <si>
    <r>
      <rPr>
        <sz val="10"/>
        <rFont val="Noto Sans CJK SC"/>
        <family val="2"/>
      </rPr>
      <t xml:space="preserve">회원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주문</t>
    </r>
  </si>
  <si>
    <t xml:space="preserve">원천회원번호</t>
  </si>
  <si>
    <t xml:space="preserve">SRC_MBR_NO</t>
  </si>
  <si>
    <r>
      <rPr>
        <sz val="10"/>
        <rFont val="Noto Sans CJK SC"/>
        <family val="2"/>
      </rPr>
      <t xml:space="preserve">원천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회원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번호</t>
    </r>
  </si>
  <si>
    <t xml:space="preserve">customer_unique_id (D-011)</t>
  </si>
  <si>
    <t xml:space="preserve">가입채널코드</t>
  </si>
  <si>
    <t xml:space="preserve">JOIN_CHNL_CD</t>
  </si>
  <si>
    <r>
      <rPr>
        <sz val="10"/>
        <rFont val="Noto Sans CJK SC"/>
        <family val="2"/>
      </rPr>
      <t xml:space="preserve">가입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채널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코드</t>
    </r>
  </si>
  <si>
    <t xml:space="preserve">가입일시</t>
  </si>
  <si>
    <t xml:space="preserve">JOIN_DTM</t>
  </si>
  <si>
    <r>
      <rPr>
        <sz val="10"/>
        <rFont val="Noto Sans CJK SC"/>
        <family val="2"/>
      </rPr>
      <t xml:space="preserve">가입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일시</t>
    </r>
  </si>
  <si>
    <r>
      <rPr>
        <sz val="10"/>
        <rFont val="Arial"/>
        <family val="0"/>
        <charset val="1"/>
      </rPr>
      <t xml:space="preserve">Olist</t>
    </r>
    <r>
      <rPr>
        <sz val="10"/>
        <rFont val="Noto Sans CJK SC"/>
        <family val="2"/>
      </rPr>
      <t xml:space="preserve">는 첫 주문일시 </t>
    </r>
    <r>
      <rPr>
        <sz val="10"/>
        <rFont val="Arial"/>
        <family val="0"/>
        <charset val="1"/>
      </rPr>
      <t xml:space="preserve">(D-023)</t>
    </r>
  </si>
  <si>
    <t xml:space="preserve">우편번호</t>
  </si>
  <si>
    <t xml:space="preserve">ZIP_NO</t>
  </si>
  <si>
    <r>
      <rPr>
        <sz val="10"/>
        <rFont val="Noto Sans CJK SC"/>
        <family val="2"/>
      </rPr>
      <t xml:space="preserve">우편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번호</t>
    </r>
  </si>
  <si>
    <r>
      <rPr>
        <sz val="10"/>
        <rFont val="Noto Sans CJK SC"/>
        <family val="2"/>
      </rPr>
      <t xml:space="preserve">회원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매장</t>
    </r>
  </si>
  <si>
    <t xml:space="preserve">도시명</t>
  </si>
  <si>
    <t xml:space="preserve">CITY_NM</t>
  </si>
  <si>
    <r>
      <rPr>
        <sz val="10"/>
        <rFont val="Noto Sans CJK SC"/>
        <family val="2"/>
      </rPr>
      <t xml:space="preserve">도시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명</t>
    </r>
  </si>
  <si>
    <t xml:space="preserve">주명</t>
  </si>
  <si>
    <t xml:space="preserve">ST_NM</t>
  </si>
  <si>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명</t>
    </r>
  </si>
  <si>
    <r>
      <rPr>
        <sz val="10"/>
        <rFont val="Noto Sans CJK SC"/>
        <family val="2"/>
      </rPr>
      <t xml:space="preserve">브랜드</t>
    </r>
    <r>
      <rPr>
        <sz val="10"/>
        <rFont val="Arial"/>
        <family val="0"/>
        <charset val="1"/>
      </rPr>
      <t xml:space="preserve">ID</t>
    </r>
  </si>
  <si>
    <t xml:space="preserve">BRND_ID</t>
  </si>
  <si>
    <r>
      <rPr>
        <sz val="10"/>
        <rFont val="Noto Sans CJK SC"/>
        <family val="2"/>
      </rPr>
      <t xml:space="preserve">브랜드</t>
    </r>
    <r>
      <rPr>
        <sz val="10"/>
        <rFont val="Arial"/>
        <family val="0"/>
        <charset val="1"/>
      </rPr>
      <t xml:space="preserve">+ID</t>
    </r>
  </si>
  <si>
    <r>
      <rPr>
        <sz val="10"/>
        <rFont val="Noto Sans CJK SC"/>
        <family val="2"/>
      </rPr>
      <t xml:space="preserve">브랜드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상품</t>
    </r>
  </si>
  <si>
    <t xml:space="preserve">브랜드명</t>
  </si>
  <si>
    <t xml:space="preserve">BRND_NM</t>
  </si>
  <si>
    <r>
      <rPr>
        <sz val="10"/>
        <rFont val="Noto Sans CJK SC"/>
        <family val="2"/>
      </rPr>
      <t xml:space="preserve">브랜드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명</t>
    </r>
  </si>
  <si>
    <r>
      <rPr>
        <sz val="10"/>
        <rFont val="Noto Sans CJK SC"/>
        <family val="2"/>
      </rPr>
      <t xml:space="preserve">카테고리</t>
    </r>
    <r>
      <rPr>
        <sz val="10"/>
        <rFont val="Arial"/>
        <family val="0"/>
        <charset val="1"/>
      </rPr>
      <t xml:space="preserve">ID</t>
    </r>
  </si>
  <si>
    <t xml:space="preserve">CTGR_ID</t>
  </si>
  <si>
    <r>
      <rPr>
        <sz val="10"/>
        <rFont val="Noto Sans CJK SC"/>
        <family val="2"/>
      </rPr>
      <t xml:space="preserve">카테고리</t>
    </r>
    <r>
      <rPr>
        <sz val="10"/>
        <rFont val="Arial"/>
        <family val="0"/>
        <charset val="1"/>
      </rPr>
      <t xml:space="preserve">+ID</t>
    </r>
  </si>
  <si>
    <r>
      <rPr>
        <sz val="10"/>
        <rFont val="Noto Sans CJK SC"/>
        <family val="2"/>
      </rPr>
      <t xml:space="preserve">카테고리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상품</t>
    </r>
  </si>
  <si>
    <r>
      <rPr>
        <sz val="10"/>
        <rFont val="Noto Sans CJK SC"/>
        <family val="2"/>
      </rPr>
      <t xml:space="preserve">상위카테고리</t>
    </r>
    <r>
      <rPr>
        <sz val="10"/>
        <rFont val="Arial"/>
        <family val="0"/>
        <charset val="1"/>
      </rPr>
      <t xml:space="preserve">ID</t>
    </r>
  </si>
  <si>
    <t xml:space="preserve">UPPR_CTGR_ID</t>
  </si>
  <si>
    <r>
      <rPr>
        <sz val="10"/>
        <rFont val="Noto Sans CJK SC"/>
        <family val="2"/>
      </rPr>
      <t xml:space="preserve">상위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카테고리</t>
    </r>
    <r>
      <rPr>
        <sz val="10"/>
        <rFont val="Arial"/>
        <family val="0"/>
        <charset val="1"/>
      </rPr>
      <t xml:space="preserve">+ID</t>
    </r>
  </si>
  <si>
    <r>
      <rPr>
        <sz val="10"/>
        <rFont val="Noto Sans CJK SC"/>
        <family val="2"/>
      </rPr>
      <t xml:space="preserve">자기참조</t>
    </r>
    <r>
      <rPr>
        <sz val="10"/>
        <rFont val="Arial"/>
        <family val="0"/>
        <charset val="1"/>
      </rPr>
      <t xml:space="preserve">, NULL </t>
    </r>
    <r>
      <rPr>
        <sz val="10"/>
        <rFont val="Noto Sans CJK SC"/>
        <family val="2"/>
      </rPr>
      <t xml:space="preserve">허용</t>
    </r>
  </si>
  <si>
    <t xml:space="preserve">카테고리명</t>
  </si>
  <si>
    <t xml:space="preserve">CTGR_NM</t>
  </si>
  <si>
    <r>
      <rPr>
        <sz val="10"/>
        <rFont val="Noto Sans CJK SC"/>
        <family val="2"/>
      </rPr>
      <t xml:space="preserve">카테고리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명</t>
    </r>
  </si>
  <si>
    <t xml:space="preserve">카테고리레벨</t>
  </si>
  <si>
    <t xml:space="preserve">CTGR_LVL</t>
  </si>
  <si>
    <r>
      <rPr>
        <sz val="10"/>
        <rFont val="Noto Sans CJK SC"/>
        <family val="2"/>
      </rPr>
      <t xml:space="preserve">카테고리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레벨</t>
    </r>
  </si>
  <si>
    <t xml:space="preserve">원천카테고리코드</t>
  </si>
  <si>
    <t xml:space="preserve">SRC_CTGR_CD</t>
  </si>
  <si>
    <r>
      <rPr>
        <sz val="10"/>
        <rFont val="Noto Sans CJK SC"/>
        <family val="2"/>
      </rPr>
      <t xml:space="preserve">원천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카테고리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코드</t>
    </r>
  </si>
  <si>
    <t xml:space="preserve">beleza_saude</t>
  </si>
  <si>
    <r>
      <rPr>
        <sz val="10"/>
        <rFont val="Noto Sans CJK SC"/>
        <family val="2"/>
      </rPr>
      <t xml:space="preserve">상품</t>
    </r>
    <r>
      <rPr>
        <sz val="10"/>
        <rFont val="Arial"/>
        <family val="0"/>
        <charset val="1"/>
      </rPr>
      <t xml:space="preserve">ID</t>
    </r>
  </si>
  <si>
    <t xml:space="preserve">PRD_ID</t>
  </si>
  <si>
    <r>
      <rPr>
        <sz val="10"/>
        <rFont val="Noto Sans CJK SC"/>
        <family val="2"/>
      </rPr>
      <t xml:space="preserve">상품</t>
    </r>
    <r>
      <rPr>
        <sz val="10"/>
        <rFont val="Arial"/>
        <family val="0"/>
        <charset val="1"/>
      </rPr>
      <t xml:space="preserve">+ID</t>
    </r>
  </si>
  <si>
    <r>
      <rPr>
        <sz val="10"/>
        <rFont val="Noto Sans CJK SC"/>
        <family val="2"/>
      </rPr>
      <t xml:space="preserve">상품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상품옵션</t>
    </r>
  </si>
  <si>
    <t xml:space="preserve">원천상품번호</t>
  </si>
  <si>
    <t xml:space="preserve">SRC_PRD_NO</t>
  </si>
  <si>
    <r>
      <rPr>
        <sz val="10"/>
        <rFont val="Noto Sans CJK SC"/>
        <family val="2"/>
      </rPr>
      <t xml:space="preserve">원천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상품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번호</t>
    </r>
  </si>
  <si>
    <t xml:space="preserve">product_id</t>
  </si>
  <si>
    <t xml:space="preserve">상품명</t>
  </si>
  <si>
    <t xml:space="preserve">PRD_NM</t>
  </si>
  <si>
    <r>
      <rPr>
        <sz val="10"/>
        <rFont val="Noto Sans CJK SC"/>
        <family val="2"/>
      </rPr>
      <t xml:space="preserve">상품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명</t>
    </r>
  </si>
  <si>
    <r>
      <rPr>
        <sz val="10"/>
        <rFont val="Noto Sans CJK SC"/>
        <family val="2"/>
      </rPr>
      <t xml:space="preserve">가상 생성 </t>
    </r>
    <r>
      <rPr>
        <sz val="10"/>
        <rFont val="Arial"/>
        <family val="0"/>
        <charset val="1"/>
      </rPr>
      <t xml:space="preserve">(D-015)</t>
    </r>
  </si>
  <si>
    <r>
      <rPr>
        <sz val="10"/>
        <rFont val="Noto Sans CJK SC"/>
        <family val="2"/>
      </rPr>
      <t xml:space="preserve">원천 판매가 최댓값 </t>
    </r>
    <r>
      <rPr>
        <sz val="10"/>
        <rFont val="Arial"/>
        <family val="0"/>
        <charset val="1"/>
      </rPr>
      <t xml:space="preserve">(D-015)</t>
    </r>
  </si>
  <si>
    <t xml:space="preserve">product_weight_g</t>
  </si>
  <si>
    <t xml:space="preserve">product_length_cm</t>
  </si>
  <si>
    <t xml:space="preserve">product_height_cm</t>
  </si>
  <si>
    <t xml:space="preserve">product_width_cm</t>
  </si>
  <si>
    <r>
      <rPr>
        <sz val="10"/>
        <rFont val="Noto Sans CJK SC"/>
        <family val="2"/>
      </rPr>
      <t xml:space="preserve">상품옵션</t>
    </r>
    <r>
      <rPr>
        <sz val="10"/>
        <rFont val="Arial"/>
        <family val="0"/>
        <charset val="1"/>
      </rPr>
      <t xml:space="preserve">ID</t>
    </r>
  </si>
  <si>
    <t xml:space="preserve">PRD_OPT_ID</t>
  </si>
  <si>
    <r>
      <rPr>
        <sz val="10"/>
        <rFont val="Noto Sans CJK SC"/>
        <family val="2"/>
      </rPr>
      <t xml:space="preserve">상품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옵션</t>
    </r>
    <r>
      <rPr>
        <sz val="10"/>
        <rFont val="Arial"/>
        <family val="0"/>
        <charset val="1"/>
      </rPr>
      <t xml:space="preserve">+ID</t>
    </r>
  </si>
  <si>
    <r>
      <rPr>
        <sz val="10"/>
        <rFont val="Noto Sans CJK SC"/>
        <family val="2"/>
      </rPr>
      <t xml:space="preserve">상품옵션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매장재고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재고변동이력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주문상세</t>
    </r>
  </si>
  <si>
    <t xml:space="preserve">옵션명</t>
  </si>
  <si>
    <t xml:space="preserve">OPT_NM</t>
  </si>
  <si>
    <r>
      <rPr>
        <sz val="10"/>
        <rFont val="Noto Sans CJK SC"/>
        <family val="2"/>
      </rPr>
      <t xml:space="preserve">옵션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명</t>
    </r>
  </si>
  <si>
    <t xml:space="preserve">상품옵션</t>
  </si>
  <si>
    <r>
      <rPr>
        <sz val="10"/>
        <rFont val="Noto Sans CJK SC"/>
        <family val="2"/>
      </rPr>
      <t xml:space="preserve">매장</t>
    </r>
    <r>
      <rPr>
        <sz val="10"/>
        <rFont val="Arial"/>
        <family val="0"/>
        <charset val="1"/>
      </rPr>
      <t xml:space="preserve">ID</t>
    </r>
  </si>
  <si>
    <t xml:space="preserve">STR_ID</t>
  </si>
  <si>
    <r>
      <rPr>
        <sz val="10"/>
        <rFont val="Noto Sans CJK SC"/>
        <family val="2"/>
      </rPr>
      <t xml:space="preserve">매장</t>
    </r>
    <r>
      <rPr>
        <sz val="10"/>
        <rFont val="Arial"/>
        <family val="0"/>
        <charset val="1"/>
      </rPr>
      <t xml:space="preserve">+ID</t>
    </r>
  </si>
  <si>
    <r>
      <rPr>
        <sz val="10"/>
        <rFont val="Noto Sans CJK SC"/>
        <family val="2"/>
      </rPr>
      <t xml:space="preserve">매장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매장재고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재고변동이력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주문</t>
    </r>
  </si>
  <si>
    <t xml:space="preserve">매장명</t>
  </si>
  <si>
    <t xml:space="preserve">STR_NM</t>
  </si>
  <si>
    <r>
      <rPr>
        <sz val="10"/>
        <rFont val="Noto Sans CJK SC"/>
        <family val="2"/>
      </rPr>
      <t xml:space="preserve">매장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명</t>
    </r>
  </si>
  <si>
    <t xml:space="preserve">개점일자</t>
  </si>
  <si>
    <t xml:space="preserve">OPEN_DT</t>
  </si>
  <si>
    <r>
      <rPr>
        <sz val="10"/>
        <rFont val="Noto Sans CJK SC"/>
        <family val="2"/>
      </rPr>
      <t xml:space="preserve">개점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일자</t>
    </r>
  </si>
  <si>
    <t xml:space="preserve">재고상태코드</t>
  </si>
  <si>
    <t xml:space="preserve">STCK_STAT_CD</t>
  </si>
  <si>
    <r>
      <rPr>
        <sz val="10"/>
        <rFont val="Noto Sans CJK SC"/>
        <family val="2"/>
      </rPr>
      <t xml:space="preserve">재고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상태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코드</t>
    </r>
  </si>
  <si>
    <r>
      <rPr>
        <sz val="10"/>
        <rFont val="Noto Sans CJK SC"/>
        <family val="2"/>
      </rPr>
      <t xml:space="preserve">매장재고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재고변동이력</t>
    </r>
  </si>
  <si>
    <t xml:space="preserve">D-002</t>
  </si>
  <si>
    <t xml:space="preserve">재고수량</t>
  </si>
  <si>
    <t xml:space="preserve">STCK_QTY</t>
  </si>
  <si>
    <r>
      <rPr>
        <sz val="10"/>
        <rFont val="Noto Sans CJK SC"/>
        <family val="2"/>
      </rPr>
      <t xml:space="preserve">재고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수량</t>
    </r>
  </si>
  <si>
    <t xml:space="preserve">매장재고</t>
  </si>
  <si>
    <t xml:space="preserve">최종변동일시</t>
  </si>
  <si>
    <t xml:space="preserve">LAST_CHG_DTM</t>
  </si>
  <si>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변동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일시</t>
    </r>
  </si>
  <si>
    <r>
      <rPr>
        <sz val="10"/>
        <rFont val="Noto Sans CJK SC"/>
        <family val="2"/>
      </rPr>
      <t xml:space="preserve">변경이력 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</si>
  <si>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재고변동</t>
    </r>
    <r>
      <rPr>
        <sz val="10"/>
        <rFont val="Arial"/>
        <family val="0"/>
        <charset val="1"/>
      </rPr>
      <t xml:space="preserve">ID</t>
    </r>
  </si>
  <si>
    <t xml:space="preserve">STCK_CHG_ID</t>
  </si>
  <si>
    <r>
      <rPr>
        <sz val="10"/>
        <rFont val="Noto Sans CJK SC"/>
        <family val="2"/>
      </rPr>
      <t xml:space="preserve">재고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변동</t>
    </r>
    <r>
      <rPr>
        <sz val="10"/>
        <rFont val="Arial"/>
        <family val="0"/>
        <charset val="1"/>
      </rPr>
      <t xml:space="preserve">+ID</t>
    </r>
  </si>
  <si>
    <t xml:space="preserve">재고변동이력</t>
  </si>
  <si>
    <t xml:space="preserve">변동유형코드</t>
  </si>
  <si>
    <t xml:space="preserve">CHG_TYPE_CD</t>
  </si>
  <si>
    <r>
      <rPr>
        <sz val="10"/>
        <rFont val="Noto Sans CJK SC"/>
        <family val="2"/>
      </rPr>
      <t xml:space="preserve">변동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유형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코드</t>
    </r>
  </si>
  <si>
    <t xml:space="preserve">변동수량</t>
  </si>
  <si>
    <t xml:space="preserve">CHG_QTY</t>
  </si>
  <si>
    <r>
      <rPr>
        <sz val="10"/>
        <rFont val="Noto Sans CJK SC"/>
        <family val="2"/>
      </rPr>
      <t xml:space="preserve">변동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수량</t>
    </r>
  </si>
  <si>
    <r>
      <rPr>
        <sz val="10"/>
        <rFont val="Noto Sans CJK SC"/>
        <family val="2"/>
      </rPr>
      <t xml:space="preserve">증가 </t>
    </r>
    <r>
      <rPr>
        <sz val="10"/>
        <rFont val="Arial"/>
        <family val="0"/>
        <charset val="1"/>
      </rPr>
      <t xml:space="preserve">+, </t>
    </r>
    <r>
      <rPr>
        <sz val="10"/>
        <rFont val="Noto Sans CJK SC"/>
        <family val="2"/>
      </rPr>
      <t xml:space="preserve">감소 −</t>
    </r>
  </si>
  <si>
    <t xml:space="preserve">변동일시</t>
  </si>
  <si>
    <t xml:space="preserve">CHG_DTM</t>
  </si>
  <si>
    <r>
      <rPr>
        <sz val="10"/>
        <rFont val="Noto Sans CJK SC"/>
        <family val="2"/>
      </rPr>
      <t xml:space="preserve">변동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일시</t>
    </r>
  </si>
  <si>
    <t xml:space="preserve">조정사유코드</t>
  </si>
  <si>
    <t xml:space="preserve">ADJ_RSN_CD</t>
  </si>
  <si>
    <r>
      <rPr>
        <sz val="10"/>
        <rFont val="Noto Sans CJK SC"/>
        <family val="2"/>
      </rPr>
      <t xml:space="preserve">조정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사유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코드</t>
    </r>
  </si>
  <si>
    <t xml:space="preserve">D-007</t>
  </si>
  <si>
    <r>
      <rPr>
        <sz val="10"/>
        <rFont val="Noto Sans CJK SC"/>
        <family val="2"/>
      </rPr>
      <t xml:space="preserve">주문</t>
    </r>
    <r>
      <rPr>
        <sz val="10"/>
        <rFont val="Arial"/>
        <family val="0"/>
        <charset val="1"/>
      </rPr>
      <t xml:space="preserve">ID</t>
    </r>
  </si>
  <si>
    <t xml:space="preserve">ORD_ID</t>
  </si>
  <si>
    <r>
      <rPr>
        <sz val="10"/>
        <rFont val="Noto Sans CJK SC"/>
        <family val="2"/>
      </rPr>
      <t xml:space="preserve">주문</t>
    </r>
    <r>
      <rPr>
        <sz val="10"/>
        <rFont val="Arial"/>
        <family val="0"/>
        <charset val="1"/>
      </rPr>
      <t xml:space="preserve">+ID</t>
    </r>
  </si>
  <si>
    <r>
      <rPr>
        <sz val="10"/>
        <rFont val="Noto Sans CJK SC"/>
        <family val="2"/>
      </rPr>
      <t xml:space="preserve">주문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주문상세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결제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재고변동이력</t>
    </r>
  </si>
  <si>
    <t xml:space="preserve">원천주문번호</t>
  </si>
  <si>
    <t xml:space="preserve">SRC_ORD_NO</t>
  </si>
  <si>
    <r>
      <rPr>
        <sz val="10"/>
        <rFont val="Noto Sans CJK SC"/>
        <family val="2"/>
      </rPr>
      <t xml:space="preserve">원천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주문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번호</t>
    </r>
  </si>
  <si>
    <t xml:space="preserve">order_id</t>
  </si>
  <si>
    <t xml:space="preserve">판매채널코드</t>
  </si>
  <si>
    <t xml:space="preserve">SALE_CHNL_CD</t>
  </si>
  <si>
    <r>
      <rPr>
        <sz val="10"/>
        <rFont val="Noto Sans CJK SC"/>
        <family val="2"/>
      </rPr>
      <t xml:space="preserve">판매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채널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코드</t>
    </r>
  </si>
  <si>
    <t xml:space="preserve">D-017</t>
  </si>
  <si>
    <t xml:space="preserve">주문상태코드</t>
  </si>
  <si>
    <t xml:space="preserve">ORD_STAT_CD</t>
  </si>
  <si>
    <r>
      <rPr>
        <sz val="10"/>
        <rFont val="Noto Sans CJK SC"/>
        <family val="2"/>
      </rPr>
      <t xml:space="preserve">주문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상태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코드</t>
    </r>
  </si>
  <si>
    <t xml:space="preserve">주문일시</t>
  </si>
  <si>
    <t xml:space="preserve">ORD_DTM</t>
  </si>
  <si>
    <r>
      <rPr>
        <sz val="10"/>
        <rFont val="Noto Sans CJK SC"/>
        <family val="2"/>
      </rPr>
      <t xml:space="preserve">주문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일시</t>
    </r>
  </si>
  <si>
    <t xml:space="preserve">order_purchase_timestamp</t>
  </si>
  <si>
    <t xml:space="preserve">결제승인일시</t>
  </si>
  <si>
    <t xml:space="preserve">PAY_APRV_DTM</t>
  </si>
  <si>
    <r>
      <rPr>
        <sz val="10"/>
        <rFont val="Noto Sans CJK SC"/>
        <family val="2"/>
      </rPr>
      <t xml:space="preserve">결제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일시</t>
    </r>
  </si>
  <si>
    <t xml:space="preserve">order_approved_at</t>
  </si>
  <si>
    <t xml:space="preserve">포장완료일시</t>
  </si>
  <si>
    <t xml:space="preserve">PACK_CMPL_DTM</t>
  </si>
  <si>
    <r>
      <rPr>
        <sz val="10"/>
        <rFont val="Noto Sans CJK SC"/>
        <family val="2"/>
      </rPr>
      <t xml:space="preserve">포장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완료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일시</t>
    </r>
  </si>
  <si>
    <t xml:space="preserve">D-005</t>
  </si>
  <si>
    <t xml:space="preserve">택배인계일시</t>
  </si>
  <si>
    <t xml:space="preserve">PRCL_HNDV_DTM</t>
  </si>
  <si>
    <r>
      <rPr>
        <sz val="10"/>
        <rFont val="Noto Sans CJK SC"/>
        <family val="2"/>
      </rPr>
      <t xml:space="preserve">택배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인계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일시</t>
    </r>
  </si>
  <si>
    <t xml:space="preserve">order_delivered_carrier_date</t>
  </si>
  <si>
    <t xml:space="preserve">수령완료일시</t>
  </si>
  <si>
    <t xml:space="preserve">RCV_CMPL_DTM</t>
  </si>
  <si>
    <r>
      <rPr>
        <sz val="10"/>
        <rFont val="Noto Sans CJK SC"/>
        <family val="2"/>
      </rPr>
      <t xml:space="preserve">수령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완료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일시</t>
    </r>
  </si>
  <si>
    <r>
      <rPr>
        <sz val="10"/>
        <rFont val="Noto Sans CJK SC"/>
        <family val="2"/>
      </rPr>
      <t xml:space="preserve">택배 배송완료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픽업 수령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매장판매 통합 </t>
    </r>
    <r>
      <rPr>
        <sz val="10"/>
        <rFont val="Arial"/>
        <family val="0"/>
        <charset val="1"/>
      </rPr>
      <t xml:space="preserve">(D-022), </t>
    </r>
    <r>
      <rPr>
        <sz val="10"/>
        <rFont val="Noto Sans CJK SC"/>
        <family val="2"/>
      </rPr>
      <t xml:space="preserve">변경이력 </t>
    </r>
    <r>
      <rPr>
        <sz val="10"/>
        <rFont val="Arial"/>
        <family val="0"/>
        <charset val="1"/>
      </rPr>
      <t xml:space="preserve">2</t>
    </r>
  </si>
  <si>
    <t xml:space="preserve">예상수령일자</t>
  </si>
  <si>
    <t xml:space="preserve">EST_RCV_DT</t>
  </si>
  <si>
    <r>
      <rPr>
        <sz val="10"/>
        <rFont val="Noto Sans CJK SC"/>
        <family val="2"/>
      </rPr>
      <t xml:space="preserve">예상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수령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일자</t>
    </r>
  </si>
  <si>
    <r>
      <rPr>
        <sz val="10"/>
        <rFont val="Arial"/>
        <family val="0"/>
        <charset val="1"/>
      </rPr>
      <t xml:space="preserve">order_estimated_delivery_date, </t>
    </r>
    <r>
      <rPr>
        <sz val="10"/>
        <rFont val="Noto Sans CJK SC"/>
        <family val="2"/>
      </rPr>
      <t xml:space="preserve">변경이력 </t>
    </r>
    <r>
      <rPr>
        <sz val="10"/>
        <rFont val="Arial"/>
        <family val="0"/>
        <charset val="1"/>
      </rPr>
      <t xml:space="preserve">3</t>
    </r>
  </si>
  <si>
    <t xml:space="preserve">취소일시</t>
  </si>
  <si>
    <t xml:space="preserve">CNCL_DTM</t>
  </si>
  <si>
    <r>
      <rPr>
        <sz val="10"/>
        <rFont val="Noto Sans CJK SC"/>
        <family val="2"/>
      </rPr>
      <t xml:space="preserve">취소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일시</t>
    </r>
  </si>
  <si>
    <t xml:space="preserve">배송지우편번호</t>
  </si>
  <si>
    <t xml:space="preserve">SHPTO_ZIP_NO</t>
  </si>
  <si>
    <r>
      <rPr>
        <sz val="10"/>
        <rFont val="Noto Sans CJK SC"/>
        <family val="2"/>
      </rPr>
      <t xml:space="preserve">배송지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우편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번호</t>
    </r>
  </si>
  <si>
    <t xml:space="preserve">D-011</t>
  </si>
  <si>
    <t xml:space="preserve">배송지도시명</t>
  </si>
  <si>
    <t xml:space="preserve">SHPTO_CITY_NM</t>
  </si>
  <si>
    <r>
      <rPr>
        <sz val="10"/>
        <rFont val="Noto Sans CJK SC"/>
        <family val="2"/>
      </rPr>
      <t xml:space="preserve">배송지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도시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명</t>
    </r>
  </si>
  <si>
    <t xml:space="preserve">배송지주명</t>
  </si>
  <si>
    <t xml:space="preserve">SHPTO_ST_NM</t>
  </si>
  <si>
    <r>
      <rPr>
        <sz val="10"/>
        <rFont val="Noto Sans CJK SC"/>
        <family val="2"/>
      </rPr>
      <t xml:space="preserve">배송지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명</t>
    </r>
  </si>
  <si>
    <t xml:space="preserve">주문상세순번</t>
  </si>
  <si>
    <t xml:space="preserve">ORD_DTL_SEQ</t>
  </si>
  <si>
    <r>
      <rPr>
        <sz val="10"/>
        <rFont val="Noto Sans CJK SC"/>
        <family val="2"/>
      </rPr>
      <t xml:space="preserve">주문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상세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순번</t>
    </r>
  </si>
  <si>
    <t xml:space="preserve">주문상세</t>
  </si>
  <si>
    <t xml:space="preserve">주문수량</t>
  </si>
  <si>
    <t xml:space="preserve">ORD_QTY</t>
  </si>
  <si>
    <r>
      <rPr>
        <sz val="10"/>
        <rFont val="Noto Sans CJK SC"/>
        <family val="2"/>
      </rPr>
      <t xml:space="preserve">주문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수량</t>
    </r>
  </si>
  <si>
    <t xml:space="preserve">D-013</t>
  </si>
  <si>
    <t xml:space="preserve">판매단가</t>
  </si>
  <si>
    <t xml:space="preserve">SALE_UPRC</t>
  </si>
  <si>
    <r>
      <rPr>
        <sz val="10"/>
        <rFont val="Noto Sans CJK SC"/>
        <family val="2"/>
      </rPr>
      <t xml:space="preserve">판매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단가</t>
    </r>
  </si>
  <si>
    <t xml:space="preserve">D-019</t>
  </si>
  <si>
    <t xml:space="preserve">배송비</t>
  </si>
  <si>
    <t xml:space="preserve">SHIP_FEE</t>
  </si>
  <si>
    <r>
      <rPr>
        <sz val="10"/>
        <rFont val="Noto Sans CJK SC"/>
        <family val="2"/>
      </rPr>
      <t xml:space="preserve">배송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비</t>
    </r>
  </si>
  <si>
    <r>
      <rPr>
        <sz val="10"/>
        <rFont val="Arial"/>
        <family val="0"/>
        <charset val="1"/>
      </rPr>
      <t xml:space="preserve">freight_value </t>
    </r>
    <r>
      <rPr>
        <sz val="10"/>
        <rFont val="Noto Sans CJK SC"/>
        <family val="2"/>
      </rPr>
      <t xml:space="preserve">합계</t>
    </r>
  </si>
  <si>
    <t xml:space="preserve">결제순번</t>
  </si>
  <si>
    <t xml:space="preserve">PAY_SEQ</t>
  </si>
  <si>
    <r>
      <rPr>
        <sz val="10"/>
        <rFont val="Noto Sans CJK SC"/>
        <family val="2"/>
      </rPr>
      <t xml:space="preserve">결제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순번</t>
    </r>
  </si>
  <si>
    <t xml:space="preserve">payment_sequential</t>
  </si>
  <si>
    <t xml:space="preserve">결제수단코드</t>
  </si>
  <si>
    <t xml:space="preserve">PAY_MTHD_CD</t>
  </si>
  <si>
    <r>
      <rPr>
        <sz val="10"/>
        <rFont val="Noto Sans CJK SC"/>
        <family val="2"/>
      </rPr>
      <t xml:space="preserve">결제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수단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코드</t>
    </r>
  </si>
  <si>
    <t xml:space="preserve">할부개월수</t>
  </si>
  <si>
    <t xml:space="preserve">INSTL_MON_CNT</t>
  </si>
  <si>
    <r>
      <rPr>
        <sz val="10"/>
        <rFont val="Noto Sans CJK SC"/>
        <family val="2"/>
      </rPr>
      <t xml:space="preserve">할부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수</t>
    </r>
  </si>
  <si>
    <t xml:space="preserve">payment_installments</t>
  </si>
  <si>
    <t xml:space="preserve">결제금액</t>
  </si>
  <si>
    <t xml:space="preserve">PAY_AMT</t>
  </si>
  <si>
    <r>
      <rPr>
        <sz val="10"/>
        <rFont val="Noto Sans CJK SC"/>
        <family val="2"/>
      </rPr>
      <t xml:space="preserve">결제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금액</t>
    </r>
  </si>
  <si>
    <t xml:space="preserve">payment_value</t>
  </si>
  <si>
    <t xml:space="preserve">코드그룹</t>
  </si>
  <si>
    <t xml:space="preserve">코드값</t>
  </si>
  <si>
    <t xml:space="preserve">코드명</t>
  </si>
  <si>
    <r>
      <rPr>
        <b val="true"/>
        <sz val="10"/>
        <color rgb="FFFFFFFF"/>
        <rFont val="Noto Sans CJK SC"/>
        <family val="2"/>
      </rPr>
      <t xml:space="preserve">원천값</t>
    </r>
    <r>
      <rPr>
        <b val="true"/>
        <sz val="10"/>
        <color rgb="FFFFFFFF"/>
        <rFont val="Arial"/>
        <family val="0"/>
        <charset val="1"/>
      </rPr>
      <t xml:space="preserve">(Olist)</t>
    </r>
  </si>
  <si>
    <t xml:space="preserve">STORE</t>
  </si>
  <si>
    <t xml:space="preserve">매장판매</t>
  </si>
  <si>
    <r>
      <rPr>
        <sz val="10"/>
        <rFont val="Noto Sans CJK SC"/>
        <family val="2"/>
      </rPr>
      <t xml:space="preserve">회원</t>
    </r>
    <r>
      <rPr>
        <sz val="10"/>
        <rFont val="Arial"/>
        <family val="0"/>
        <charset val="1"/>
      </rPr>
      <t xml:space="preserve">ID NULL </t>
    </r>
    <r>
      <rPr>
        <sz val="10"/>
        <rFont val="Noto Sans CJK SC"/>
        <family val="2"/>
      </rPr>
      <t xml:space="preserve">허용</t>
    </r>
  </si>
  <si>
    <t xml:space="preserve">PARCEL</t>
  </si>
  <si>
    <t xml:space="preserve">택배배송</t>
  </si>
  <si>
    <r>
      <rPr>
        <sz val="10"/>
        <rFont val="Arial"/>
        <family val="0"/>
        <charset val="1"/>
      </rPr>
      <t xml:space="preserve">Olist </t>
    </r>
    <r>
      <rPr>
        <sz val="10"/>
        <rFont val="Noto Sans CJK SC"/>
        <family val="2"/>
      </rPr>
      <t xml:space="preserve">전체 주문</t>
    </r>
  </si>
  <si>
    <t xml:space="preserve">출고매장 없음</t>
  </si>
  <si>
    <t xml:space="preserve">STORE_SHIP</t>
  </si>
  <si>
    <t xml:space="preserve">매장출고배송</t>
  </si>
  <si>
    <t xml:space="preserve">매장에서 포장 후 배송</t>
  </si>
  <si>
    <t xml:space="preserve">PICKUP</t>
  </si>
  <si>
    <t xml:space="preserve">매장픽업</t>
  </si>
  <si>
    <t xml:space="preserve">매장에서 포장 후 고객 수령</t>
  </si>
  <si>
    <t xml:space="preserve">ORDERED</t>
  </si>
  <si>
    <t xml:space="preserve">주문접수</t>
  </si>
  <si>
    <t xml:space="preserve">created</t>
  </si>
  <si>
    <t xml:space="preserve">PAID</t>
  </si>
  <si>
    <t xml:space="preserve">결제완료</t>
  </si>
  <si>
    <t xml:space="preserve">approved, invoiced, processing</t>
  </si>
  <si>
    <t xml:space="preserve">출고 준비 단계 포함</t>
  </si>
  <si>
    <t xml:space="preserve">PACKED</t>
  </si>
  <si>
    <t xml:space="preserve">포장완료</t>
  </si>
  <si>
    <r>
      <rPr>
        <sz val="10"/>
        <rFont val="Noto Sans CJK SC"/>
        <family val="2"/>
      </rPr>
      <t xml:space="preserve">매장출고배송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매장픽업</t>
    </r>
  </si>
  <si>
    <t xml:space="preserve">SHIPPED</t>
  </si>
  <si>
    <t xml:space="preserve">배송중</t>
  </si>
  <si>
    <t xml:space="preserve">shipped</t>
  </si>
  <si>
    <t xml:space="preserve">RECEIVED</t>
  </si>
  <si>
    <t xml:space="preserve">수령완료</t>
  </si>
  <si>
    <t xml:space="preserve">delivered</t>
  </si>
  <si>
    <t xml:space="preserve">D-022</t>
  </si>
  <si>
    <t xml:space="preserve">CANCELED</t>
  </si>
  <si>
    <t xml:space="preserve">canceled, unavailable</t>
  </si>
  <si>
    <t xml:space="preserve">AVAIL</t>
  </si>
  <si>
    <t xml:space="preserve">가용</t>
  </si>
  <si>
    <r>
      <rPr>
        <sz val="10"/>
        <rFont val="Noto Sans CJK SC"/>
        <family val="2"/>
      </rPr>
      <t xml:space="preserve">판매 가능 </t>
    </r>
    <r>
      <rPr>
        <sz val="10"/>
        <rFont val="Arial"/>
        <family val="0"/>
        <charset val="1"/>
      </rPr>
      <t xml:space="preserve">(D-002)</t>
    </r>
  </si>
  <si>
    <t xml:space="preserve">ORD_HOLD</t>
  </si>
  <si>
    <t xml:space="preserve">주문보관</t>
  </si>
  <si>
    <t xml:space="preserve">포장된 주문 봉투 안</t>
  </si>
  <si>
    <t xml:space="preserve">TESTER</t>
  </si>
  <si>
    <t xml:space="preserve">테스터</t>
  </si>
  <si>
    <t xml:space="preserve">D-003</t>
  </si>
  <si>
    <t xml:space="preserve">IN</t>
  </si>
  <si>
    <t xml:space="preserve">입고</t>
  </si>
  <si>
    <r>
      <rPr>
        <sz val="10"/>
        <rFont val="Noto Sans CJK SC"/>
        <family val="2"/>
      </rPr>
      <t xml:space="preserve">가용 </t>
    </r>
    <r>
      <rPr>
        <sz val="10"/>
        <rFont val="Arial"/>
        <family val="0"/>
        <charset val="1"/>
      </rPr>
      <t xml:space="preserve">+</t>
    </r>
  </si>
  <si>
    <r>
      <rPr>
        <sz val="10"/>
        <rFont val="Noto Sans CJK SC"/>
        <family val="2"/>
      </rPr>
      <t xml:space="preserve">가용 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매장판매</t>
    </r>
  </si>
  <si>
    <t xml:space="preserve">ORD_ALLOC</t>
  </si>
  <si>
    <t xml:space="preserve">주문할당</t>
  </si>
  <si>
    <r>
      <rPr>
        <sz val="10"/>
        <rFont val="Noto Sans CJK SC"/>
        <family val="2"/>
      </rPr>
      <t xml:space="preserve">가용 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주문보관 </t>
    </r>
    <r>
      <rPr>
        <sz val="10"/>
        <rFont val="Arial"/>
        <family val="0"/>
        <charset val="1"/>
      </rPr>
      <t xml:space="preserve">+</t>
    </r>
  </si>
  <si>
    <t xml:space="preserve">ORD_RCV</t>
  </si>
  <si>
    <t xml:space="preserve">주문수령</t>
  </si>
  <si>
    <r>
      <rPr>
        <sz val="10"/>
        <rFont val="Noto Sans CJK SC"/>
        <family val="2"/>
      </rPr>
      <t xml:space="preserve">주문보관 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픽업 수령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매장출고</t>
    </r>
  </si>
  <si>
    <t xml:space="preserve">ORD_CNCL</t>
  </si>
  <si>
    <t xml:space="preserve">주문취소복원</t>
  </si>
  <si>
    <r>
      <rPr>
        <sz val="10"/>
        <rFont val="Noto Sans CJK SC"/>
        <family val="2"/>
      </rPr>
      <t xml:space="preserve">주문보관 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가용 </t>
    </r>
    <r>
      <rPr>
        <sz val="10"/>
        <rFont val="Arial"/>
        <family val="0"/>
        <charset val="1"/>
      </rPr>
      <t xml:space="preserve">+ (D-006)</t>
    </r>
  </si>
  <si>
    <t xml:space="preserve">RETURN</t>
  </si>
  <si>
    <t xml:space="preserve">반품</t>
  </si>
  <si>
    <t xml:space="preserve">DISPOSE</t>
  </si>
  <si>
    <t xml:space="preserve">폐기</t>
  </si>
  <si>
    <t xml:space="preserve">가용 −</t>
  </si>
  <si>
    <t xml:space="preserve">실사조정</t>
  </si>
  <si>
    <r>
      <rPr>
        <sz val="10"/>
        <rFont val="Noto Sans CJK SC"/>
        <family val="2"/>
      </rPr>
      <t xml:space="preserve">가용 </t>
    </r>
    <r>
      <rPr>
        <sz val="10"/>
        <rFont val="Arial"/>
        <family val="0"/>
        <charset val="1"/>
      </rPr>
      <t xml:space="preserve">±, </t>
    </r>
    <r>
      <rPr>
        <sz val="10"/>
        <rFont val="Noto Sans CJK SC"/>
        <family val="2"/>
      </rPr>
      <t xml:space="preserve">조정사유코드 필수</t>
    </r>
  </si>
  <si>
    <t xml:space="preserve">TESTER_IN</t>
  </si>
  <si>
    <t xml:space="preserve">테스터전환</t>
  </si>
  <si>
    <r>
      <rPr>
        <sz val="10"/>
        <rFont val="Noto Sans CJK SC"/>
        <family val="2"/>
      </rPr>
      <t xml:space="preserve">가용 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테스터 </t>
    </r>
    <r>
      <rPr>
        <sz val="10"/>
        <rFont val="Arial"/>
        <family val="0"/>
        <charset val="1"/>
      </rPr>
      <t xml:space="preserve">+</t>
    </r>
  </si>
  <si>
    <t xml:space="preserve">TESTER_OUT</t>
  </si>
  <si>
    <t xml:space="preserve">테스터폐기</t>
  </si>
  <si>
    <t xml:space="preserve">테스터 −</t>
  </si>
  <si>
    <t xml:space="preserve">THEFT</t>
  </si>
  <si>
    <t xml:space="preserve">도난추정</t>
  </si>
  <si>
    <t xml:space="preserve">DAMAGE</t>
  </si>
  <si>
    <t xml:space="preserve">파손</t>
  </si>
  <si>
    <t xml:space="preserve">POS_ERR</t>
  </si>
  <si>
    <t xml:space="preserve">포스오류</t>
  </si>
  <si>
    <t xml:space="preserve">UNKNOWN</t>
  </si>
  <si>
    <t xml:space="preserve">원인미상</t>
  </si>
  <si>
    <t xml:space="preserve">FOUND</t>
  </si>
  <si>
    <t xml:space="preserve">미발견후발견</t>
  </si>
  <si>
    <r>
      <rPr>
        <sz val="10"/>
        <rFont val="Noto Sans CJK SC"/>
        <family val="2"/>
      </rPr>
      <t xml:space="preserve">재조정 사유 </t>
    </r>
    <r>
      <rPr>
        <sz val="10"/>
        <rFont val="Arial"/>
        <family val="0"/>
        <charset val="1"/>
      </rPr>
      <t xml:space="preserve">(D-007)</t>
    </r>
  </si>
  <si>
    <t xml:space="preserve">CREDIT</t>
  </si>
  <si>
    <t xml:space="preserve">신용카드</t>
  </si>
  <si>
    <t xml:space="preserve">credit_card</t>
  </si>
  <si>
    <t xml:space="preserve">DEBIT</t>
  </si>
  <si>
    <t xml:space="preserve">체크카드</t>
  </si>
  <si>
    <t xml:space="preserve">debit_card</t>
  </si>
  <si>
    <t xml:space="preserve">BANK_SLIP</t>
  </si>
  <si>
    <t xml:space="preserve">은행전표</t>
  </si>
  <si>
    <t xml:space="preserve">boleto</t>
  </si>
  <si>
    <t xml:space="preserve">원천 국가의 전표 결제</t>
  </si>
  <si>
    <t xml:space="preserve">VOUCHER</t>
  </si>
  <si>
    <t xml:space="preserve">상품권</t>
  </si>
  <si>
    <t xml:space="preserve">voucher</t>
  </si>
  <si>
    <t xml:space="preserve">CASH</t>
  </si>
  <si>
    <t xml:space="preserve">현금</t>
  </si>
  <si>
    <t xml:space="preserve">매장판매 전용</t>
  </si>
  <si>
    <t xml:space="preserve">ONLINE</t>
  </si>
  <si>
    <t xml:space="preserve">온라인</t>
  </si>
  <si>
    <r>
      <rPr>
        <sz val="10"/>
        <rFont val="Arial"/>
        <family val="0"/>
        <charset val="1"/>
      </rPr>
      <t xml:space="preserve">Olist </t>
    </r>
    <r>
      <rPr>
        <sz val="10"/>
        <rFont val="Noto Sans CJK SC"/>
        <family val="2"/>
      </rPr>
      <t xml:space="preserve">전체 회원</t>
    </r>
  </si>
  <si>
    <r>
      <rPr>
        <b val="true"/>
        <sz val="10"/>
        <color rgb="FFFFFFFF"/>
        <rFont val="Noto Sans CJK SC"/>
        <family val="2"/>
      </rPr>
      <t xml:space="preserve">변경 전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논리 </t>
    </r>
    <r>
      <rPr>
        <b val="true"/>
        <sz val="10"/>
        <color rgb="FFFFFFFF"/>
        <rFont val="Arial"/>
        <family val="0"/>
        <charset val="1"/>
      </rPr>
      <t xml:space="preserve">ERD)</t>
    </r>
  </si>
  <si>
    <r>
      <rPr>
        <b val="true"/>
        <sz val="10"/>
        <color rgb="FFFFFFFF"/>
        <rFont val="Noto Sans CJK SC"/>
        <family val="2"/>
      </rPr>
      <t xml:space="preserve">변경 후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표준용어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</si>
  <si>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최종변경일시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</si>
  <si>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변동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 같은 의미로 혼용됨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'(</t>
    </r>
    <r>
      <rPr>
        <sz val="10"/>
        <rFont val="Noto Sans CJK SC"/>
        <family val="2"/>
      </rPr>
      <t xml:space="preserve">행 갱신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변동</t>
    </r>
    <r>
      <rPr>
        <sz val="10"/>
        <rFont val="Arial"/>
        <family val="0"/>
        <charset val="1"/>
      </rPr>
      <t xml:space="preserve">'(</t>
    </r>
    <r>
      <rPr>
        <sz val="10"/>
        <rFont val="Noto Sans CJK SC"/>
        <family val="2"/>
      </rPr>
      <t xml:space="preserve">재고 증감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구분하는 안도 검토했으나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매장재고의 최종 갱신은 곧 마지막 재고 변동이므로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변동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통일하고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은 금칙어로 등록</t>
    </r>
  </si>
  <si>
    <t xml:space="preserve">인도완료일시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</si>
  <si>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인도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는 현업에서 잘 쓰지 않아 부자연스러움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도착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도 검토했으나 매장 픽업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매장판매에는 맞지 않아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모든 채널에 자연스러운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수령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결정</t>
    </r>
  </si>
  <si>
    <t xml:space="preserve">예상배송일자</t>
  </si>
  <si>
    <r>
      <rPr>
        <sz val="10"/>
        <rFont val="Noto Sans CJK SC"/>
        <family val="2"/>
      </rPr>
      <t xml:space="preserve">실제 값인 수령완료일시와 비교 대상임이 이름에서 드러나도록 같은 단어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수령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통일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배송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유지안</t>
    </r>
    <r>
      <rPr>
        <sz val="10"/>
        <rFont val="Arial"/>
        <family val="0"/>
        <charset val="1"/>
      </rPr>
      <t xml:space="preserve">, '</t>
    </r>
    <r>
      <rPr>
        <sz val="10"/>
        <rFont val="Noto Sans CJK SC"/>
        <family val="2"/>
      </rPr>
      <t xml:space="preserve">인도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안</t>
    </r>
    <r>
      <rPr>
        <sz val="10"/>
        <rFont val="Arial"/>
        <family val="0"/>
        <charset val="1"/>
      </rPr>
      <t xml:space="preserve">, '</t>
    </r>
    <r>
      <rPr>
        <sz val="10"/>
        <rFont val="Noto Sans CJK SC"/>
        <family val="2"/>
      </rPr>
      <t xml:space="preserve">도착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안을 검토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</si>
</sst>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3"/>
    </row>
    <row r="3" customFormat="false" ht="15" hidden="false" customHeight="false" outlineLevel="0" collapsed="false">
      <c r="A3" s="4" t="s">
        <v>1</v>
      </c>
      <c r="B3" s="5" t="s">
        <v>2</v>
      </c>
    </row>
    <row r="4" customFormat="false" ht="15" hidden="false" customHeight="false" outlineLevel="0" collapsed="false">
      <c r="A4" s="4" t="s">
        <v>3</v>
      </c>
      <c r="B4" s="5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</row>
    <row r="6" customFormat="false" ht="15" hidden="false" customHeight="false" outlineLevel="0" collapsed="false">
      <c r="A6" s="4" t="s">
        <v>7</v>
      </c>
      <c r="B6" s="5" t="s">
        <v>8</v>
      </c>
    </row>
    <row r="7" customFormat="false" ht="15" hidden="false" customHeight="false" outlineLevel="0" collapsed="false">
      <c r="A7" s="4" t="s">
        <v>9</v>
      </c>
      <c r="B7" s="5" t="s">
        <v>10</v>
      </c>
    </row>
    <row r="8" customFormat="false" ht="15" hidden="false" customHeight="false" outlineLevel="0" collapsed="false">
      <c r="A8" s="4" t="s">
        <v>11</v>
      </c>
      <c r="B8" s="5" t="s">
        <v>12</v>
      </c>
    </row>
    <row r="9" customFormat="false" ht="15" hidden="false" customHeight="false" outlineLevel="0" collapsed="false">
      <c r="A9" s="4" t="s">
        <v>13</v>
      </c>
      <c r="B9" s="3" t="s">
        <v>14</v>
      </c>
    </row>
    <row r="10" customFormat="false" ht="15" hidden="false" customHeight="false" outlineLevel="0" collapsed="false">
      <c r="A10" s="2"/>
      <c r="B10" s="3"/>
    </row>
    <row r="11" customFormat="false" ht="29.85" hidden="false" customHeight="false" outlineLevel="0" collapsed="false">
      <c r="A11" s="4" t="s">
        <v>15</v>
      </c>
      <c r="B11" s="5" t="s">
        <v>16</v>
      </c>
    </row>
    <row r="12" customFormat="false" ht="15" hidden="false" customHeight="false" outlineLevel="0" collapsed="false">
      <c r="A12" s="4" t="s">
        <v>17</v>
      </c>
      <c r="B12" s="5" t="s">
        <v>18</v>
      </c>
    </row>
    <row r="13" customFormat="false" ht="15" hidden="false" customHeight="false" outlineLevel="0" collapsed="false">
      <c r="A13" s="4" t="s">
        <v>19</v>
      </c>
      <c r="B13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32"/>
  </cols>
  <sheetData>
    <row r="1" customFormat="false" ht="15" hidden="false" customHeight="false" outlineLevel="0" collapsed="false">
      <c r="A1" s="6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</row>
    <row r="2" customFormat="false" ht="15" hidden="false" customHeight="false" outlineLevel="0" collapsed="false">
      <c r="A2" s="8" t="n">
        <v>1</v>
      </c>
      <c r="B2" s="8" t="s">
        <v>28</v>
      </c>
      <c r="C2" s="8" t="s">
        <v>28</v>
      </c>
      <c r="D2" s="8" t="s">
        <v>29</v>
      </c>
      <c r="E2" s="8" t="s">
        <v>30</v>
      </c>
      <c r="F2" s="8"/>
      <c r="G2" s="9" t="s">
        <v>31</v>
      </c>
    </row>
    <row r="3" customFormat="false" ht="15" hidden="false" customHeight="false" outlineLevel="0" collapsed="false">
      <c r="A3" s="8" t="n">
        <v>2</v>
      </c>
      <c r="B3" s="9" t="s">
        <v>32</v>
      </c>
      <c r="C3" s="8" t="s">
        <v>33</v>
      </c>
      <c r="D3" s="8" t="s">
        <v>34</v>
      </c>
      <c r="E3" s="8" t="s">
        <v>30</v>
      </c>
      <c r="F3" s="8"/>
      <c r="G3" s="9" t="s">
        <v>35</v>
      </c>
    </row>
    <row r="4" customFormat="false" ht="15" hidden="false" customHeight="false" outlineLevel="0" collapsed="false">
      <c r="A4" s="8" t="n">
        <v>3</v>
      </c>
      <c r="B4" s="9" t="s">
        <v>36</v>
      </c>
      <c r="C4" s="8" t="s">
        <v>37</v>
      </c>
      <c r="D4" s="8" t="s">
        <v>38</v>
      </c>
      <c r="E4" s="8" t="s">
        <v>30</v>
      </c>
      <c r="F4" s="8"/>
      <c r="G4" s="9" t="s">
        <v>39</v>
      </c>
    </row>
    <row r="5" customFormat="false" ht="15" hidden="false" customHeight="false" outlineLevel="0" collapsed="false">
      <c r="A5" s="8" t="n">
        <v>4</v>
      </c>
      <c r="B5" s="9" t="s">
        <v>40</v>
      </c>
      <c r="C5" s="8" t="s">
        <v>41</v>
      </c>
      <c r="D5" s="8" t="s">
        <v>42</v>
      </c>
      <c r="E5" s="8" t="s">
        <v>30</v>
      </c>
      <c r="F5" s="9" t="s">
        <v>43</v>
      </c>
      <c r="G5" s="9" t="s">
        <v>44</v>
      </c>
    </row>
    <row r="6" customFormat="false" ht="15" hidden="false" customHeight="false" outlineLevel="0" collapsed="false">
      <c r="A6" s="8" t="n">
        <v>5</v>
      </c>
      <c r="B6" s="9" t="s">
        <v>45</v>
      </c>
      <c r="C6" s="8" t="s">
        <v>46</v>
      </c>
      <c r="D6" s="8" t="s">
        <v>47</v>
      </c>
      <c r="E6" s="8" t="s">
        <v>30</v>
      </c>
      <c r="F6" s="9" t="s">
        <v>48</v>
      </c>
      <c r="G6" s="9" t="s">
        <v>49</v>
      </c>
    </row>
    <row r="7" customFormat="false" ht="15" hidden="false" customHeight="false" outlineLevel="0" collapsed="false">
      <c r="A7" s="8" t="n">
        <v>6</v>
      </c>
      <c r="B7" s="9" t="s">
        <v>50</v>
      </c>
      <c r="C7" s="8" t="s">
        <v>51</v>
      </c>
      <c r="D7" s="8" t="s">
        <v>52</v>
      </c>
      <c r="E7" s="8" t="s">
        <v>30</v>
      </c>
      <c r="F7" s="9" t="s">
        <v>53</v>
      </c>
      <c r="G7" s="9" t="s">
        <v>54</v>
      </c>
    </row>
    <row r="8" customFormat="false" ht="15" hidden="false" customHeight="false" outlineLevel="0" collapsed="false">
      <c r="A8" s="8" t="n">
        <v>7</v>
      </c>
      <c r="B8" s="9" t="s">
        <v>55</v>
      </c>
      <c r="C8" s="8" t="s">
        <v>56</v>
      </c>
      <c r="D8" s="8" t="s">
        <v>57</v>
      </c>
      <c r="E8" s="8" t="s">
        <v>30</v>
      </c>
      <c r="F8" s="9" t="s">
        <v>58</v>
      </c>
      <c r="G8" s="9" t="s">
        <v>59</v>
      </c>
    </row>
    <row r="9" customFormat="false" ht="15" hidden="false" customHeight="false" outlineLevel="0" collapsed="false">
      <c r="A9" s="8" t="n">
        <v>8</v>
      </c>
      <c r="B9" s="9" t="s">
        <v>60</v>
      </c>
      <c r="C9" s="8" t="s">
        <v>61</v>
      </c>
      <c r="D9" s="8" t="s">
        <v>62</v>
      </c>
      <c r="E9" s="8" t="s">
        <v>30</v>
      </c>
      <c r="F9" s="9" t="s">
        <v>63</v>
      </c>
      <c r="G9" s="9" t="s">
        <v>64</v>
      </c>
    </row>
    <row r="10" customFormat="false" ht="15" hidden="false" customHeight="false" outlineLevel="0" collapsed="false">
      <c r="A10" s="8" t="n">
        <v>9</v>
      </c>
      <c r="B10" s="9" t="s">
        <v>65</v>
      </c>
      <c r="C10" s="8" t="s">
        <v>66</v>
      </c>
      <c r="D10" s="8" t="s">
        <v>67</v>
      </c>
      <c r="E10" s="8" t="s">
        <v>30</v>
      </c>
      <c r="F10" s="8"/>
      <c r="G10" s="8" t="s">
        <v>68</v>
      </c>
    </row>
    <row r="11" customFormat="false" ht="15" hidden="false" customHeight="false" outlineLevel="0" collapsed="false">
      <c r="A11" s="8" t="n">
        <v>10</v>
      </c>
      <c r="B11" s="9" t="s">
        <v>69</v>
      </c>
      <c r="C11" s="8" t="s">
        <v>70</v>
      </c>
      <c r="D11" s="8" t="s">
        <v>71</v>
      </c>
      <c r="E11" s="8" t="s">
        <v>30</v>
      </c>
      <c r="F11" s="9" t="s">
        <v>72</v>
      </c>
      <c r="G11" s="9" t="s">
        <v>73</v>
      </c>
    </row>
    <row r="12" customFormat="false" ht="15" hidden="false" customHeight="false" outlineLevel="0" collapsed="false">
      <c r="A12" s="8" t="n">
        <v>11</v>
      </c>
      <c r="B12" s="9" t="s">
        <v>74</v>
      </c>
      <c r="C12" s="8" t="s">
        <v>75</v>
      </c>
      <c r="D12" s="8" t="s">
        <v>76</v>
      </c>
      <c r="E12" s="8" t="s">
        <v>30</v>
      </c>
      <c r="F12" s="9" t="s">
        <v>77</v>
      </c>
      <c r="G12" s="9" t="s">
        <v>78</v>
      </c>
    </row>
    <row r="13" customFormat="false" ht="15" hidden="false" customHeight="false" outlineLevel="0" collapsed="false">
      <c r="A13" s="8" t="n">
        <v>12</v>
      </c>
      <c r="B13" s="9" t="s">
        <v>79</v>
      </c>
      <c r="C13" s="8" t="s">
        <v>80</v>
      </c>
      <c r="D13" s="8" t="s">
        <v>81</v>
      </c>
      <c r="E13" s="8" t="s">
        <v>30</v>
      </c>
      <c r="F13" s="9" t="s">
        <v>82</v>
      </c>
      <c r="G13" s="9" t="s">
        <v>83</v>
      </c>
    </row>
    <row r="14" customFormat="false" ht="15" hidden="false" customHeight="false" outlineLevel="0" collapsed="false">
      <c r="A14" s="8" t="n">
        <v>13</v>
      </c>
      <c r="B14" s="9" t="s">
        <v>84</v>
      </c>
      <c r="C14" s="8" t="s">
        <v>85</v>
      </c>
      <c r="D14" s="8" t="s">
        <v>86</v>
      </c>
      <c r="E14" s="8" t="s">
        <v>30</v>
      </c>
      <c r="F14" s="8"/>
      <c r="G14" s="9" t="s">
        <v>87</v>
      </c>
    </row>
    <row r="15" customFormat="false" ht="15" hidden="false" customHeight="false" outlineLevel="0" collapsed="false">
      <c r="A15" s="8" t="n">
        <v>14</v>
      </c>
      <c r="B15" s="9" t="s">
        <v>88</v>
      </c>
      <c r="C15" s="8" t="s">
        <v>89</v>
      </c>
      <c r="D15" s="8" t="s">
        <v>90</v>
      </c>
      <c r="E15" s="8" t="s">
        <v>30</v>
      </c>
      <c r="F15" s="9" t="s">
        <v>91</v>
      </c>
      <c r="G15" s="9" t="s">
        <v>92</v>
      </c>
    </row>
    <row r="16" customFormat="false" ht="15" hidden="false" customHeight="false" outlineLevel="0" collapsed="false">
      <c r="A16" s="8" t="n">
        <v>15</v>
      </c>
      <c r="B16" s="9" t="s">
        <v>93</v>
      </c>
      <c r="C16" s="8" t="s">
        <v>94</v>
      </c>
      <c r="D16" s="8" t="s">
        <v>95</v>
      </c>
      <c r="E16" s="8" t="s">
        <v>30</v>
      </c>
      <c r="F16" s="9" t="s">
        <v>96</v>
      </c>
      <c r="G16" s="9" t="s">
        <v>97</v>
      </c>
    </row>
    <row r="17" customFormat="false" ht="15" hidden="false" customHeight="false" outlineLevel="0" collapsed="false">
      <c r="A17" s="8" t="n">
        <v>16</v>
      </c>
      <c r="B17" s="9" t="s">
        <v>98</v>
      </c>
      <c r="C17" s="8" t="s">
        <v>99</v>
      </c>
      <c r="D17" s="8" t="s">
        <v>100</v>
      </c>
      <c r="E17" s="8" t="s">
        <v>30</v>
      </c>
      <c r="F17" s="8"/>
      <c r="G17" s="9" t="s">
        <v>101</v>
      </c>
    </row>
    <row r="18" customFormat="false" ht="15" hidden="false" customHeight="false" outlineLevel="0" collapsed="false">
      <c r="A18" s="8" t="n">
        <v>17</v>
      </c>
      <c r="B18" s="9" t="s">
        <v>102</v>
      </c>
      <c r="C18" s="8" t="s">
        <v>103</v>
      </c>
      <c r="D18" s="8" t="s">
        <v>104</v>
      </c>
      <c r="E18" s="8" t="s">
        <v>30</v>
      </c>
      <c r="F18" s="8"/>
      <c r="G18" s="9" t="s">
        <v>101</v>
      </c>
    </row>
    <row r="19" customFormat="false" ht="15" hidden="false" customHeight="false" outlineLevel="0" collapsed="false">
      <c r="A19" s="8" t="n">
        <v>18</v>
      </c>
      <c r="B19" s="9" t="s">
        <v>105</v>
      </c>
      <c r="C19" s="8" t="s">
        <v>106</v>
      </c>
      <c r="D19" s="8" t="s">
        <v>107</v>
      </c>
      <c r="E19" s="8" t="s">
        <v>30</v>
      </c>
      <c r="F19" s="9" t="s">
        <v>108</v>
      </c>
      <c r="G19" s="9" t="s">
        <v>101</v>
      </c>
    </row>
    <row r="20" customFormat="false" ht="15" hidden="false" customHeight="false" outlineLevel="0" collapsed="false">
      <c r="A20" s="10" t="n">
        <v>19</v>
      </c>
      <c r="B20" s="11" t="s">
        <v>109</v>
      </c>
      <c r="C20" s="10" t="s">
        <v>110</v>
      </c>
      <c r="D20" s="10" t="s">
        <v>111</v>
      </c>
      <c r="E20" s="10" t="s">
        <v>112</v>
      </c>
      <c r="F20" s="10"/>
      <c r="G20" s="10"/>
    </row>
    <row r="21" customFormat="false" ht="15" hidden="false" customHeight="false" outlineLevel="0" collapsed="false">
      <c r="A21" s="10" t="n">
        <v>20</v>
      </c>
      <c r="B21" s="11" t="s">
        <v>113</v>
      </c>
      <c r="C21" s="10" t="s">
        <v>114</v>
      </c>
      <c r="D21" s="10" t="s">
        <v>115</v>
      </c>
      <c r="E21" s="10" t="s">
        <v>112</v>
      </c>
      <c r="F21" s="10"/>
      <c r="G21" s="11" t="s">
        <v>116</v>
      </c>
    </row>
    <row r="22" customFormat="false" ht="15" hidden="false" customHeight="false" outlineLevel="0" collapsed="false">
      <c r="A22" s="10" t="n">
        <v>21</v>
      </c>
      <c r="B22" s="11" t="s">
        <v>117</v>
      </c>
      <c r="C22" s="10" t="s">
        <v>118</v>
      </c>
      <c r="D22" s="10" t="s">
        <v>119</v>
      </c>
      <c r="E22" s="10" t="s">
        <v>112</v>
      </c>
      <c r="F22" s="10"/>
      <c r="G22" s="10"/>
    </row>
    <row r="23" customFormat="false" ht="15" hidden="false" customHeight="false" outlineLevel="0" collapsed="false">
      <c r="A23" s="10" t="n">
        <v>22</v>
      </c>
      <c r="B23" s="11" t="s">
        <v>120</v>
      </c>
      <c r="C23" s="10" t="s">
        <v>121</v>
      </c>
      <c r="D23" s="10" t="s">
        <v>122</v>
      </c>
      <c r="E23" s="10" t="s">
        <v>112</v>
      </c>
      <c r="F23" s="10"/>
      <c r="G23" s="10"/>
    </row>
    <row r="24" customFormat="false" ht="15" hidden="false" customHeight="false" outlineLevel="0" collapsed="false">
      <c r="A24" s="10" t="n">
        <v>23</v>
      </c>
      <c r="B24" s="11" t="s">
        <v>123</v>
      </c>
      <c r="C24" s="10" t="s">
        <v>124</v>
      </c>
      <c r="D24" s="10" t="s">
        <v>125</v>
      </c>
      <c r="E24" s="10" t="s">
        <v>112</v>
      </c>
      <c r="F24" s="10"/>
      <c r="G24" s="11" t="s">
        <v>126</v>
      </c>
    </row>
    <row r="25" customFormat="false" ht="15" hidden="false" customHeight="false" outlineLevel="0" collapsed="false">
      <c r="A25" s="10" t="n">
        <v>24</v>
      </c>
      <c r="B25" s="11" t="s">
        <v>127</v>
      </c>
      <c r="C25" s="10" t="s">
        <v>128</v>
      </c>
      <c r="D25" s="10" t="s">
        <v>129</v>
      </c>
      <c r="E25" s="10" t="s">
        <v>112</v>
      </c>
      <c r="F25" s="10"/>
      <c r="G25" s="10"/>
    </row>
    <row r="26" customFormat="false" ht="15" hidden="false" customHeight="false" outlineLevel="0" collapsed="false">
      <c r="A26" s="10" t="n">
        <v>25</v>
      </c>
      <c r="B26" s="11" t="s">
        <v>130</v>
      </c>
      <c r="C26" s="10" t="s">
        <v>131</v>
      </c>
      <c r="D26" s="10" t="s">
        <v>132</v>
      </c>
      <c r="E26" s="10" t="s">
        <v>112</v>
      </c>
      <c r="F26" s="10"/>
      <c r="G26" s="11" t="s">
        <v>133</v>
      </c>
    </row>
    <row r="27" customFormat="false" ht="15" hidden="false" customHeight="false" outlineLevel="0" collapsed="false">
      <c r="A27" s="10" t="n">
        <v>26</v>
      </c>
      <c r="B27" s="11" t="s">
        <v>134</v>
      </c>
      <c r="C27" s="10" t="s">
        <v>135</v>
      </c>
      <c r="D27" s="10" t="s">
        <v>136</v>
      </c>
      <c r="E27" s="10" t="s">
        <v>112</v>
      </c>
      <c r="F27" s="10"/>
      <c r="G27" s="10"/>
    </row>
    <row r="28" customFormat="false" ht="15" hidden="false" customHeight="false" outlineLevel="0" collapsed="false">
      <c r="A28" s="10" t="n">
        <v>27</v>
      </c>
      <c r="B28" s="11" t="s">
        <v>137</v>
      </c>
      <c r="C28" s="10" t="s">
        <v>138</v>
      </c>
      <c r="D28" s="10" t="s">
        <v>139</v>
      </c>
      <c r="E28" s="10" t="s">
        <v>112</v>
      </c>
      <c r="F28" s="11" t="s">
        <v>140</v>
      </c>
      <c r="G28" s="10"/>
    </row>
    <row r="29" customFormat="false" ht="15" hidden="false" customHeight="false" outlineLevel="0" collapsed="false">
      <c r="A29" s="10" t="n">
        <v>28</v>
      </c>
      <c r="B29" s="11" t="s">
        <v>141</v>
      </c>
      <c r="C29" s="10" t="s">
        <v>142</v>
      </c>
      <c r="D29" s="10" t="s">
        <v>143</v>
      </c>
      <c r="E29" s="10" t="s">
        <v>112</v>
      </c>
      <c r="F29" s="11" t="s">
        <v>144</v>
      </c>
      <c r="G29" s="10"/>
    </row>
    <row r="30" customFormat="false" ht="15" hidden="false" customHeight="false" outlineLevel="0" collapsed="false">
      <c r="A30" s="10" t="n">
        <v>29</v>
      </c>
      <c r="B30" s="11" t="s">
        <v>145</v>
      </c>
      <c r="C30" s="10" t="s">
        <v>146</v>
      </c>
      <c r="D30" s="10" t="s">
        <v>147</v>
      </c>
      <c r="E30" s="10" t="s">
        <v>112</v>
      </c>
      <c r="F30" s="11" t="s">
        <v>148</v>
      </c>
      <c r="G30" s="10"/>
    </row>
    <row r="31" customFormat="false" ht="15" hidden="false" customHeight="false" outlineLevel="0" collapsed="false">
      <c r="A31" s="10" t="n">
        <v>30</v>
      </c>
      <c r="B31" s="11" t="s">
        <v>149</v>
      </c>
      <c r="C31" s="10" t="s">
        <v>150</v>
      </c>
      <c r="D31" s="10" t="s">
        <v>151</v>
      </c>
      <c r="E31" s="10" t="s">
        <v>112</v>
      </c>
      <c r="F31" s="10"/>
      <c r="G31" s="10"/>
    </row>
    <row r="32" customFormat="false" ht="15" hidden="false" customHeight="false" outlineLevel="0" collapsed="false">
      <c r="A32" s="10" t="n">
        <v>31</v>
      </c>
      <c r="B32" s="11" t="s">
        <v>152</v>
      </c>
      <c r="C32" s="10" t="s">
        <v>153</v>
      </c>
      <c r="D32" s="10" t="s">
        <v>154</v>
      </c>
      <c r="E32" s="10" t="s">
        <v>112</v>
      </c>
      <c r="F32" s="11" t="s">
        <v>155</v>
      </c>
      <c r="G32" s="10"/>
    </row>
    <row r="33" customFormat="false" ht="15" hidden="false" customHeight="false" outlineLevel="0" collapsed="false">
      <c r="A33" s="10" t="n">
        <v>32</v>
      </c>
      <c r="B33" s="11" t="s">
        <v>156</v>
      </c>
      <c r="C33" s="10" t="s">
        <v>157</v>
      </c>
      <c r="D33" s="10" t="s">
        <v>158</v>
      </c>
      <c r="E33" s="10" t="s">
        <v>112</v>
      </c>
      <c r="F33" s="11" t="s">
        <v>159</v>
      </c>
      <c r="G33" s="10"/>
    </row>
    <row r="34" customFormat="false" ht="15" hidden="false" customHeight="false" outlineLevel="0" collapsed="false">
      <c r="A34" s="10" t="n">
        <v>33</v>
      </c>
      <c r="B34" s="11" t="s">
        <v>160</v>
      </c>
      <c r="C34" s="10" t="s">
        <v>161</v>
      </c>
      <c r="D34" s="10" t="s">
        <v>162</v>
      </c>
      <c r="E34" s="10" t="s">
        <v>112</v>
      </c>
      <c r="F34" s="10"/>
      <c r="G34" s="10"/>
    </row>
    <row r="35" customFormat="false" ht="15" hidden="false" customHeight="false" outlineLevel="0" collapsed="false">
      <c r="A35" s="10" t="n">
        <v>34</v>
      </c>
      <c r="B35" s="11" t="s">
        <v>163</v>
      </c>
      <c r="C35" s="10" t="s">
        <v>164</v>
      </c>
      <c r="D35" s="10" t="s">
        <v>165</v>
      </c>
      <c r="E35" s="10" t="s">
        <v>112</v>
      </c>
      <c r="F35" s="10"/>
      <c r="G35" s="10"/>
    </row>
    <row r="36" customFormat="false" ht="15" hidden="false" customHeight="false" outlineLevel="0" collapsed="false">
      <c r="A36" s="10" t="n">
        <v>35</v>
      </c>
      <c r="B36" s="11" t="s">
        <v>166</v>
      </c>
      <c r="C36" s="10" t="s">
        <v>167</v>
      </c>
      <c r="D36" s="10" t="s">
        <v>168</v>
      </c>
      <c r="E36" s="10" t="s">
        <v>112</v>
      </c>
      <c r="F36" s="11" t="s">
        <v>169</v>
      </c>
      <c r="G36" s="10"/>
    </row>
    <row r="37" customFormat="false" ht="15" hidden="false" customHeight="false" outlineLevel="0" collapsed="false">
      <c r="A37" s="10" t="n">
        <v>36</v>
      </c>
      <c r="B37" s="11" t="s">
        <v>170</v>
      </c>
      <c r="C37" s="10" t="s">
        <v>171</v>
      </c>
      <c r="D37" s="10" t="s">
        <v>172</v>
      </c>
      <c r="E37" s="10" t="s">
        <v>112</v>
      </c>
      <c r="F37" s="11" t="s">
        <v>173</v>
      </c>
      <c r="G37" s="11" t="s">
        <v>174</v>
      </c>
    </row>
    <row r="38" customFormat="false" ht="15" hidden="false" customHeight="false" outlineLevel="0" collapsed="false">
      <c r="A38" s="10" t="n">
        <v>37</v>
      </c>
      <c r="B38" s="11" t="s">
        <v>175</v>
      </c>
      <c r="C38" s="10" t="s">
        <v>176</v>
      </c>
      <c r="D38" s="10" t="s">
        <v>177</v>
      </c>
      <c r="E38" s="10" t="s">
        <v>112</v>
      </c>
      <c r="F38" s="11" t="s">
        <v>178</v>
      </c>
      <c r="G38" s="10"/>
    </row>
    <row r="39" customFormat="false" ht="15" hidden="false" customHeight="false" outlineLevel="0" collapsed="false">
      <c r="A39" s="10" t="n">
        <v>38</v>
      </c>
      <c r="B39" s="11" t="s">
        <v>179</v>
      </c>
      <c r="C39" s="10" t="s">
        <v>180</v>
      </c>
      <c r="D39" s="10" t="s">
        <v>181</v>
      </c>
      <c r="E39" s="10" t="s">
        <v>112</v>
      </c>
      <c r="F39" s="10"/>
      <c r="G39" s="10"/>
    </row>
    <row r="40" customFormat="false" ht="15" hidden="false" customHeight="false" outlineLevel="0" collapsed="false">
      <c r="A40" s="10" t="n">
        <v>39</v>
      </c>
      <c r="B40" s="11" t="s">
        <v>182</v>
      </c>
      <c r="C40" s="10" t="s">
        <v>183</v>
      </c>
      <c r="D40" s="10" t="s">
        <v>184</v>
      </c>
      <c r="E40" s="10" t="s">
        <v>112</v>
      </c>
      <c r="F40" s="11" t="s">
        <v>185</v>
      </c>
      <c r="G40" s="10"/>
    </row>
    <row r="41" customFormat="false" ht="15" hidden="false" customHeight="false" outlineLevel="0" collapsed="false">
      <c r="A41" s="10" t="n">
        <v>40</v>
      </c>
      <c r="B41" s="11" t="s">
        <v>186</v>
      </c>
      <c r="C41" s="10" t="s">
        <v>187</v>
      </c>
      <c r="D41" s="10" t="s">
        <v>188</v>
      </c>
      <c r="E41" s="10" t="s">
        <v>112</v>
      </c>
      <c r="F41" s="11" t="s">
        <v>189</v>
      </c>
      <c r="G41" s="10"/>
    </row>
    <row r="42" customFormat="false" ht="15" hidden="false" customHeight="false" outlineLevel="0" collapsed="false">
      <c r="A42" s="10" t="n">
        <v>41</v>
      </c>
      <c r="B42" s="11" t="s">
        <v>190</v>
      </c>
      <c r="C42" s="10" t="s">
        <v>191</v>
      </c>
      <c r="D42" s="10" t="s">
        <v>192</v>
      </c>
      <c r="E42" s="10" t="s">
        <v>112</v>
      </c>
      <c r="F42" s="11" t="s">
        <v>193</v>
      </c>
      <c r="G42" s="10"/>
    </row>
    <row r="43" customFormat="false" ht="15" hidden="false" customHeight="false" outlineLevel="0" collapsed="false">
      <c r="A43" s="10" t="n">
        <v>42</v>
      </c>
      <c r="B43" s="11" t="s">
        <v>194</v>
      </c>
      <c r="C43" s="10" t="s">
        <v>195</v>
      </c>
      <c r="D43" s="10" t="s">
        <v>196</v>
      </c>
      <c r="E43" s="10" t="s">
        <v>112</v>
      </c>
      <c r="F43" s="10"/>
      <c r="G43" s="10"/>
    </row>
    <row r="44" customFormat="false" ht="15" hidden="false" customHeight="false" outlineLevel="0" collapsed="false">
      <c r="A44" s="10" t="n">
        <v>43</v>
      </c>
      <c r="B44" s="11" t="s">
        <v>197</v>
      </c>
      <c r="C44" s="10" t="s">
        <v>198</v>
      </c>
      <c r="D44" s="10" t="s">
        <v>199</v>
      </c>
      <c r="E44" s="10" t="s">
        <v>112</v>
      </c>
      <c r="F44" s="11" t="s">
        <v>200</v>
      </c>
      <c r="G44" s="10"/>
    </row>
    <row r="45" customFormat="false" ht="15" hidden="false" customHeight="false" outlineLevel="0" collapsed="false">
      <c r="A45" s="10" t="n">
        <v>44</v>
      </c>
      <c r="B45" s="11" t="s">
        <v>201</v>
      </c>
      <c r="C45" s="10" t="s">
        <v>202</v>
      </c>
      <c r="D45" s="10" t="s">
        <v>203</v>
      </c>
      <c r="E45" s="10" t="s">
        <v>112</v>
      </c>
      <c r="F45" s="10"/>
      <c r="G45" s="10"/>
    </row>
    <row r="46" customFormat="false" ht="15" hidden="false" customHeight="false" outlineLevel="0" collapsed="false">
      <c r="A46" s="10" t="n">
        <v>45</v>
      </c>
      <c r="B46" s="11" t="s">
        <v>204</v>
      </c>
      <c r="C46" s="10" t="s">
        <v>205</v>
      </c>
      <c r="D46" s="10" t="s">
        <v>206</v>
      </c>
      <c r="E46" s="10" t="s">
        <v>112</v>
      </c>
      <c r="F46" s="11" t="s">
        <v>207</v>
      </c>
      <c r="G46" s="10"/>
    </row>
    <row r="47" customFormat="false" ht="15" hidden="false" customHeight="false" outlineLevel="0" collapsed="false">
      <c r="A47" s="10" t="n">
        <v>46</v>
      </c>
      <c r="B47" s="11" t="s">
        <v>208</v>
      </c>
      <c r="C47" s="10" t="s">
        <v>209</v>
      </c>
      <c r="D47" s="10" t="s">
        <v>210</v>
      </c>
      <c r="E47" s="10" t="s">
        <v>112</v>
      </c>
      <c r="F47" s="10"/>
      <c r="G47" s="10"/>
    </row>
    <row r="48" customFormat="false" ht="15" hidden="false" customHeight="false" outlineLevel="0" collapsed="false">
      <c r="A48" s="10" t="n">
        <v>47</v>
      </c>
      <c r="B48" s="11" t="s">
        <v>211</v>
      </c>
      <c r="C48" s="10" t="s">
        <v>212</v>
      </c>
      <c r="D48" s="10" t="s">
        <v>213</v>
      </c>
      <c r="E48" s="10" t="s">
        <v>112</v>
      </c>
      <c r="F48" s="10"/>
      <c r="G48" s="10"/>
    </row>
    <row r="49" customFormat="false" ht="15" hidden="false" customHeight="false" outlineLevel="0" collapsed="false">
      <c r="A49" s="10" t="n">
        <v>48</v>
      </c>
      <c r="B49" s="11" t="s">
        <v>214</v>
      </c>
      <c r="C49" s="10" t="s">
        <v>215</v>
      </c>
      <c r="D49" s="10" t="s">
        <v>216</v>
      </c>
      <c r="E49" s="10" t="s">
        <v>112</v>
      </c>
      <c r="F49" s="10"/>
      <c r="G49" s="10"/>
    </row>
    <row r="50" customFormat="false" ht="15" hidden="false" customHeight="false" outlineLevel="0" collapsed="false">
      <c r="A50" s="10" t="n">
        <v>49</v>
      </c>
      <c r="B50" s="11" t="s">
        <v>217</v>
      </c>
      <c r="C50" s="10" t="s">
        <v>218</v>
      </c>
      <c r="D50" s="10" t="s">
        <v>219</v>
      </c>
      <c r="E50" s="10" t="s">
        <v>112</v>
      </c>
      <c r="F50" s="10"/>
      <c r="G50" s="10"/>
    </row>
    <row r="51" customFormat="false" ht="15" hidden="false" customHeight="false" outlineLevel="0" collapsed="false">
      <c r="A51" s="10" t="n">
        <v>50</v>
      </c>
      <c r="B51" s="11" t="s">
        <v>220</v>
      </c>
      <c r="C51" s="10" t="s">
        <v>221</v>
      </c>
      <c r="D51" s="10" t="s">
        <v>222</v>
      </c>
      <c r="E51" s="10" t="s">
        <v>112</v>
      </c>
      <c r="F51" s="10"/>
      <c r="G51" s="11" t="s">
        <v>223</v>
      </c>
    </row>
    <row r="52" customFormat="false" ht="15" hidden="false" customHeight="false" outlineLevel="0" collapsed="false">
      <c r="A52" s="10" t="n">
        <v>51</v>
      </c>
      <c r="B52" s="11" t="s">
        <v>224</v>
      </c>
      <c r="C52" s="10" t="s">
        <v>225</v>
      </c>
      <c r="D52" s="10" t="s">
        <v>226</v>
      </c>
      <c r="E52" s="10" t="s">
        <v>112</v>
      </c>
      <c r="F52" s="10"/>
      <c r="G52" s="11" t="s">
        <v>227</v>
      </c>
    </row>
    <row r="53" customFormat="false" ht="26.85" hidden="false" customHeight="false" outlineLevel="0" collapsed="false">
      <c r="A53" s="10" t="n">
        <v>52</v>
      </c>
      <c r="B53" s="11" t="s">
        <v>228</v>
      </c>
      <c r="C53" s="10" t="s">
        <v>229</v>
      </c>
      <c r="D53" s="10" t="s">
        <v>230</v>
      </c>
      <c r="E53" s="10" t="s">
        <v>112</v>
      </c>
      <c r="F53" s="11" t="s">
        <v>231</v>
      </c>
      <c r="G53" s="11" t="s">
        <v>232</v>
      </c>
    </row>
    <row r="54" customFormat="false" ht="15" hidden="false" customHeight="false" outlineLevel="0" collapsed="false">
      <c r="A54" s="10" t="n">
        <v>53</v>
      </c>
      <c r="B54" s="11" t="s">
        <v>233</v>
      </c>
      <c r="C54" s="10" t="s">
        <v>234</v>
      </c>
      <c r="D54" s="10" t="s">
        <v>235</v>
      </c>
      <c r="E54" s="10" t="s">
        <v>112</v>
      </c>
      <c r="F54" s="11" t="s">
        <v>236</v>
      </c>
      <c r="G54" s="11" t="s">
        <v>237</v>
      </c>
    </row>
    <row r="55" customFormat="false" ht="15" hidden="false" customHeight="false" outlineLevel="0" collapsed="false">
      <c r="A55" s="10" t="n">
        <v>54</v>
      </c>
      <c r="B55" s="11" t="s">
        <v>238</v>
      </c>
      <c r="C55" s="10" t="s">
        <v>239</v>
      </c>
      <c r="D55" s="10" t="s">
        <v>240</v>
      </c>
      <c r="E55" s="10" t="s">
        <v>112</v>
      </c>
      <c r="F55" s="11" t="s">
        <v>241</v>
      </c>
      <c r="G55" s="10"/>
    </row>
    <row r="56" customFormat="false" ht="15" hidden="false" customHeight="false" outlineLevel="0" collapsed="false">
      <c r="A56" s="10" t="n">
        <v>55</v>
      </c>
      <c r="B56" s="11" t="s">
        <v>242</v>
      </c>
      <c r="C56" s="10" t="s">
        <v>243</v>
      </c>
      <c r="D56" s="10" t="s">
        <v>244</v>
      </c>
      <c r="E56" s="10" t="s">
        <v>112</v>
      </c>
      <c r="F56" s="10"/>
      <c r="G56" s="10"/>
    </row>
    <row r="57" customFormat="false" ht="15" hidden="false" customHeight="false" outlineLevel="0" collapsed="false">
      <c r="A57" s="10" t="n">
        <v>56</v>
      </c>
      <c r="B57" s="11" t="s">
        <v>245</v>
      </c>
      <c r="C57" s="10" t="s">
        <v>246</v>
      </c>
      <c r="D57" s="10" t="s">
        <v>247</v>
      </c>
      <c r="E57" s="10" t="s">
        <v>112</v>
      </c>
      <c r="F57" s="10"/>
      <c r="G57" s="11" t="s">
        <v>248</v>
      </c>
    </row>
    <row r="58" customFormat="false" ht="15" hidden="false" customHeight="false" outlineLevel="0" collapsed="false">
      <c r="A58" s="10" t="n">
        <v>57</v>
      </c>
      <c r="B58" s="11" t="s">
        <v>249</v>
      </c>
      <c r="C58" s="10" t="s">
        <v>250</v>
      </c>
      <c r="D58" s="10" t="s">
        <v>251</v>
      </c>
      <c r="E58" s="10" t="s">
        <v>112</v>
      </c>
      <c r="F58" s="11" t="s">
        <v>252</v>
      </c>
      <c r="G58" s="11" t="s">
        <v>253</v>
      </c>
    </row>
  </sheetData>
  <autoFilter ref="A1:G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36"/>
  </cols>
  <sheetData>
    <row r="1" customFormat="false" ht="15" hidden="false" customHeight="false" outlineLevel="0" collapsed="false">
      <c r="A1" s="6" t="s">
        <v>21</v>
      </c>
      <c r="B1" s="7" t="s">
        <v>254</v>
      </c>
      <c r="C1" s="7" t="s">
        <v>255</v>
      </c>
      <c r="D1" s="7" t="s">
        <v>256</v>
      </c>
      <c r="E1" s="7" t="s">
        <v>98</v>
      </c>
      <c r="F1" s="7" t="s">
        <v>257</v>
      </c>
      <c r="G1" s="7" t="s">
        <v>258</v>
      </c>
      <c r="H1" s="7" t="s">
        <v>27</v>
      </c>
    </row>
    <row r="2" customFormat="false" ht="15" hidden="false" customHeight="false" outlineLevel="0" collapsed="false">
      <c r="A2" s="10" t="n">
        <v>1</v>
      </c>
      <c r="B2" s="10" t="s">
        <v>259</v>
      </c>
      <c r="C2" s="10" t="s">
        <v>28</v>
      </c>
      <c r="D2" s="10" t="s">
        <v>260</v>
      </c>
      <c r="E2" s="10"/>
      <c r="F2" s="10"/>
      <c r="G2" s="10" t="str">
        <f aca="false">IF(E2="",D2,IF(F2="",D2&amp;"("&amp;E2&amp;")",D2&amp;"("&amp;E2&amp;","&amp;F2&amp;")"))</f>
        <v>BIGINT</v>
      </c>
      <c r="H2" s="11" t="s">
        <v>261</v>
      </c>
    </row>
    <row r="3" customFormat="false" ht="15" hidden="false" customHeight="false" outlineLevel="0" collapsed="false">
      <c r="A3" s="10" t="n">
        <v>2</v>
      </c>
      <c r="B3" s="10" t="s">
        <v>262</v>
      </c>
      <c r="C3" s="11" t="s">
        <v>32</v>
      </c>
      <c r="D3" s="10" t="s">
        <v>263</v>
      </c>
      <c r="E3" s="10" t="n">
        <v>32</v>
      </c>
      <c r="F3" s="10"/>
      <c r="G3" s="10" t="str">
        <f aca="false">IF(E3="",D3,IF(F3="",D3&amp;"("&amp;E3&amp;")",D3&amp;"("&amp;E3&amp;","&amp;F3&amp;")"))</f>
        <v>VARCHAR(32)</v>
      </c>
      <c r="H3" s="11" t="s">
        <v>264</v>
      </c>
    </row>
    <row r="4" customFormat="false" ht="15" hidden="false" customHeight="false" outlineLevel="0" collapsed="false">
      <c r="A4" s="10" t="n">
        <v>3</v>
      </c>
      <c r="B4" s="10" t="s">
        <v>265</v>
      </c>
      <c r="C4" s="11" t="s">
        <v>32</v>
      </c>
      <c r="D4" s="10" t="s">
        <v>263</v>
      </c>
      <c r="E4" s="10" t="n">
        <v>10</v>
      </c>
      <c r="F4" s="10"/>
      <c r="G4" s="10" t="str">
        <f aca="false">IF(E4="",D4,IF(F4="",D4&amp;"("&amp;E4&amp;")",D4&amp;"("&amp;E4&amp;","&amp;F4&amp;")"))</f>
        <v>VARCHAR(10)</v>
      </c>
      <c r="H4" s="11" t="s">
        <v>266</v>
      </c>
    </row>
    <row r="5" customFormat="false" ht="15" hidden="false" customHeight="false" outlineLevel="0" collapsed="false">
      <c r="A5" s="10" t="n">
        <v>4</v>
      </c>
      <c r="B5" s="10" t="s">
        <v>267</v>
      </c>
      <c r="C5" s="11" t="s">
        <v>36</v>
      </c>
      <c r="D5" s="10" t="s">
        <v>263</v>
      </c>
      <c r="E5" s="10" t="n">
        <v>20</v>
      </c>
      <c r="F5" s="10"/>
      <c r="G5" s="10" t="str">
        <f aca="false">IF(E5="",D5,IF(F5="",D5&amp;"("&amp;E5&amp;")",D5&amp;"("&amp;E5&amp;","&amp;F5&amp;")"))</f>
        <v>VARCHAR(20)</v>
      </c>
      <c r="H5" s="11" t="s">
        <v>268</v>
      </c>
    </row>
    <row r="6" customFormat="false" ht="15" hidden="false" customHeight="false" outlineLevel="0" collapsed="false">
      <c r="A6" s="10" t="n">
        <v>5</v>
      </c>
      <c r="B6" s="10" t="s">
        <v>269</v>
      </c>
      <c r="C6" s="11" t="s">
        <v>40</v>
      </c>
      <c r="D6" s="10" t="s">
        <v>263</v>
      </c>
      <c r="E6" s="10" t="n">
        <v>100</v>
      </c>
      <c r="F6" s="10"/>
      <c r="G6" s="10" t="str">
        <f aca="false">IF(E6="",D6,IF(F6="",D6&amp;"("&amp;E6&amp;")",D6&amp;"("&amp;E6&amp;","&amp;F6&amp;")"))</f>
        <v>VARCHAR(100)</v>
      </c>
      <c r="H6" s="11" t="s">
        <v>44</v>
      </c>
    </row>
    <row r="7" customFormat="false" ht="29.85" hidden="false" customHeight="false" outlineLevel="0" collapsed="false">
      <c r="A7" s="10" t="n">
        <v>6</v>
      </c>
      <c r="B7" s="10" t="s">
        <v>46</v>
      </c>
      <c r="C7" s="11" t="s">
        <v>45</v>
      </c>
      <c r="D7" s="10" t="s">
        <v>270</v>
      </c>
      <c r="E7" s="10"/>
      <c r="F7" s="10"/>
      <c r="G7" s="10" t="str">
        <f aca="false">IF(E7="",D7,IF(F7="",D7&amp;"("&amp;E7&amp;")",D7&amp;"("&amp;E7&amp;","&amp;F7&amp;")"))</f>
        <v>DATETIME</v>
      </c>
      <c r="H7" s="11" t="s">
        <v>271</v>
      </c>
    </row>
    <row r="8" customFormat="false" ht="15" hidden="false" customHeight="false" outlineLevel="0" collapsed="false">
      <c r="A8" s="10" t="n">
        <v>7</v>
      </c>
      <c r="B8" s="10" t="s">
        <v>51</v>
      </c>
      <c r="C8" s="11" t="s">
        <v>50</v>
      </c>
      <c r="D8" s="10" t="s">
        <v>272</v>
      </c>
      <c r="E8" s="10"/>
      <c r="F8" s="10"/>
      <c r="G8" s="10" t="str">
        <f aca="false">IF(E8="",D8,IF(F8="",D8&amp;"("&amp;E8&amp;")",D8&amp;"("&amp;E8&amp;","&amp;F8&amp;")"))</f>
        <v>DATE</v>
      </c>
      <c r="H8" s="11" t="s">
        <v>53</v>
      </c>
    </row>
    <row r="9" customFormat="false" ht="15" hidden="false" customHeight="false" outlineLevel="0" collapsed="false">
      <c r="A9" s="10" t="n">
        <v>8</v>
      </c>
      <c r="B9" s="10" t="s">
        <v>273</v>
      </c>
      <c r="C9" s="11" t="s">
        <v>274</v>
      </c>
      <c r="D9" s="10" t="s">
        <v>275</v>
      </c>
      <c r="E9" s="10" t="n">
        <v>12</v>
      </c>
      <c r="F9" s="10" t="n">
        <v>2</v>
      </c>
      <c r="G9" s="10" t="str">
        <f aca="false">IF(E9="",D9,IF(F9="",D9&amp;"("&amp;E9&amp;")",D9&amp;"("&amp;E9&amp;","&amp;F9&amp;")"))</f>
        <v>DECIMAL(12,2)</v>
      </c>
      <c r="H9" s="11" t="s">
        <v>276</v>
      </c>
    </row>
    <row r="10" customFormat="false" ht="15" hidden="false" customHeight="false" outlineLevel="0" collapsed="false">
      <c r="A10" s="10" t="n">
        <v>9</v>
      </c>
      <c r="B10" s="10" t="s">
        <v>277</v>
      </c>
      <c r="C10" s="11" t="s">
        <v>74</v>
      </c>
      <c r="D10" s="10" t="s">
        <v>278</v>
      </c>
      <c r="E10" s="10"/>
      <c r="F10" s="10"/>
      <c r="G10" s="10" t="str">
        <f aca="false">IF(E10="",D10,IF(F10="",D10&amp;"("&amp;E10&amp;")",D10&amp;"("&amp;E10&amp;","&amp;F10&amp;")"))</f>
        <v>INTEGER</v>
      </c>
      <c r="H10" s="11" t="s">
        <v>279</v>
      </c>
    </row>
    <row r="11" customFormat="false" ht="15" hidden="false" customHeight="false" outlineLevel="0" collapsed="false">
      <c r="A11" s="10" t="n">
        <v>10</v>
      </c>
      <c r="B11" s="10" t="s">
        <v>280</v>
      </c>
      <c r="C11" s="11" t="s">
        <v>79</v>
      </c>
      <c r="D11" s="10" t="s">
        <v>278</v>
      </c>
      <c r="E11" s="10"/>
      <c r="F11" s="10"/>
      <c r="G11" s="10" t="str">
        <f aca="false">IF(E11="",D11,IF(F11="",D11&amp;"("&amp;E11&amp;")",D11&amp;"("&amp;E11&amp;","&amp;F11&amp;")"))</f>
        <v>INTEGER</v>
      </c>
      <c r="H11" s="10" t="s">
        <v>281</v>
      </c>
    </row>
    <row r="12" customFormat="false" ht="15" hidden="false" customHeight="false" outlineLevel="0" collapsed="false">
      <c r="A12" s="10" t="n">
        <v>11</v>
      </c>
      <c r="B12" s="10" t="s">
        <v>282</v>
      </c>
      <c r="C12" s="11" t="s">
        <v>84</v>
      </c>
      <c r="D12" s="10" t="s">
        <v>278</v>
      </c>
      <c r="E12" s="10"/>
      <c r="F12" s="10"/>
      <c r="G12" s="10" t="str">
        <f aca="false">IF(E12="",D12,IF(F12="",D12&amp;"("&amp;E12&amp;")",D12&amp;"("&amp;E12&amp;","&amp;F12&amp;")"))</f>
        <v>INTEGER</v>
      </c>
      <c r="H12" s="10" t="s">
        <v>283</v>
      </c>
    </row>
    <row r="13" customFormat="false" ht="15" hidden="false" customHeight="false" outlineLevel="0" collapsed="false">
      <c r="A13" s="10" t="n">
        <v>12</v>
      </c>
      <c r="B13" s="10" t="s">
        <v>284</v>
      </c>
      <c r="C13" s="11" t="s">
        <v>88</v>
      </c>
      <c r="D13" s="10" t="s">
        <v>285</v>
      </c>
      <c r="E13" s="10"/>
      <c r="F13" s="10"/>
      <c r="G13" s="10" t="str">
        <f aca="false">IF(E13="",D13,IF(F13="",D13&amp;"("&amp;E13&amp;")",D13&amp;"("&amp;E13&amp;","&amp;F13&amp;")"))</f>
        <v>SMALLINT</v>
      </c>
      <c r="H13" s="10" t="s">
        <v>286</v>
      </c>
    </row>
    <row r="14" customFormat="false" ht="15" hidden="false" customHeight="false" outlineLevel="0" collapsed="false">
      <c r="A14" s="10" t="n">
        <v>13</v>
      </c>
      <c r="B14" s="10" t="s">
        <v>287</v>
      </c>
      <c r="C14" s="11" t="s">
        <v>93</v>
      </c>
      <c r="D14" s="10" t="s">
        <v>278</v>
      </c>
      <c r="E14" s="10"/>
      <c r="F14" s="10"/>
      <c r="G14" s="10" t="str">
        <f aca="false">IF(E14="",D14,IF(F14="",D14&amp;"("&amp;E14&amp;")",D14&amp;"("&amp;E14&amp;","&amp;F14&amp;")"))</f>
        <v>INTEGER</v>
      </c>
      <c r="H14" s="11" t="s">
        <v>288</v>
      </c>
    </row>
    <row r="15" customFormat="false" ht="15" hidden="false" customHeight="false" outlineLevel="0" collapsed="false">
      <c r="A15" s="10" t="n">
        <v>14</v>
      </c>
      <c r="B15" s="10" t="s">
        <v>289</v>
      </c>
      <c r="C15" s="11" t="s">
        <v>290</v>
      </c>
      <c r="D15" s="10" t="s">
        <v>278</v>
      </c>
      <c r="E15" s="10"/>
      <c r="F15" s="10"/>
      <c r="G15" s="10" t="str">
        <f aca="false">IF(E15="",D15,IF(F15="",D15&amp;"("&amp;E15&amp;")",D15&amp;"("&amp;E15&amp;","&amp;F15&amp;")"))</f>
        <v>INTEGER</v>
      </c>
      <c r="H15" s="11" t="s">
        <v>291</v>
      </c>
    </row>
  </sheetData>
  <autoFilter ref="A1:H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34"/>
  </cols>
  <sheetData>
    <row r="1" customFormat="false" ht="15" hidden="false" customHeight="false" outlineLevel="0" collapsed="false">
      <c r="A1" s="6" t="s">
        <v>21</v>
      </c>
      <c r="B1" s="7" t="s">
        <v>292</v>
      </c>
      <c r="C1" s="7" t="s">
        <v>293</v>
      </c>
      <c r="D1" s="7" t="s">
        <v>294</v>
      </c>
      <c r="E1" s="7" t="s">
        <v>254</v>
      </c>
      <c r="F1" s="7" t="s">
        <v>256</v>
      </c>
      <c r="G1" s="7" t="s">
        <v>295</v>
      </c>
      <c r="H1" s="7" t="s">
        <v>27</v>
      </c>
    </row>
    <row r="2" customFormat="false" ht="15" hidden="false" customHeight="false" outlineLevel="0" collapsed="false">
      <c r="A2" s="10" t="n">
        <v>1</v>
      </c>
      <c r="B2" s="11" t="s">
        <v>296</v>
      </c>
      <c r="C2" s="10" t="s">
        <v>297</v>
      </c>
      <c r="D2" s="11" t="s">
        <v>298</v>
      </c>
      <c r="E2" s="10" t="s">
        <v>259</v>
      </c>
      <c r="F2" s="10" t="str">
        <f aca="false">IFERROR(INDEX(표준도메인!$G:$G,MATCH(E2,표준도메인!$B:$B,0)),"도메인 없음")</f>
        <v>BIGINT</v>
      </c>
      <c r="G2" s="11" t="s">
        <v>299</v>
      </c>
      <c r="H2" s="10"/>
    </row>
    <row r="3" customFormat="false" ht="15" hidden="false" customHeight="false" outlineLevel="0" collapsed="false">
      <c r="A3" s="10" t="n">
        <v>2</v>
      </c>
      <c r="B3" s="11" t="s">
        <v>300</v>
      </c>
      <c r="C3" s="10" t="s">
        <v>301</v>
      </c>
      <c r="D3" s="11" t="s">
        <v>302</v>
      </c>
      <c r="E3" s="10" t="s">
        <v>262</v>
      </c>
      <c r="F3" s="10" t="str">
        <f aca="false">IFERROR(INDEX(표준도메인!$G:$G,MATCH(E3,표준도메인!$B:$B,0)),"도메인 없음")</f>
        <v>VARCHAR(32)</v>
      </c>
      <c r="G3" s="11" t="s">
        <v>109</v>
      </c>
      <c r="H3" s="10" t="s">
        <v>303</v>
      </c>
    </row>
    <row r="4" customFormat="false" ht="15" hidden="false" customHeight="false" outlineLevel="0" collapsed="false">
      <c r="A4" s="10" t="n">
        <v>3</v>
      </c>
      <c r="B4" s="11" t="s">
        <v>304</v>
      </c>
      <c r="C4" s="10" t="s">
        <v>305</v>
      </c>
      <c r="D4" s="11" t="s">
        <v>306</v>
      </c>
      <c r="E4" s="10" t="s">
        <v>267</v>
      </c>
      <c r="F4" s="10" t="str">
        <f aca="false">IFERROR(INDEX(표준도메인!$G:$G,MATCH(E4,표준도메인!$B:$B,0)),"도메인 없음")</f>
        <v>VARCHAR(20)</v>
      </c>
      <c r="G4" s="11" t="s">
        <v>109</v>
      </c>
      <c r="H4" s="10"/>
    </row>
    <row r="5" customFormat="false" ht="15" hidden="false" customHeight="false" outlineLevel="0" collapsed="false">
      <c r="A5" s="10" t="n">
        <v>4</v>
      </c>
      <c r="B5" s="11" t="s">
        <v>307</v>
      </c>
      <c r="C5" s="10" t="s">
        <v>308</v>
      </c>
      <c r="D5" s="11" t="s">
        <v>309</v>
      </c>
      <c r="E5" s="10" t="s">
        <v>46</v>
      </c>
      <c r="F5" s="10" t="str">
        <f aca="false">IFERROR(INDEX(표준도메인!$G:$G,MATCH(E5,표준도메인!$B:$B,0)),"도메인 없음")</f>
        <v>DATETIME</v>
      </c>
      <c r="G5" s="11" t="s">
        <v>109</v>
      </c>
      <c r="H5" s="10" t="s">
        <v>310</v>
      </c>
    </row>
    <row r="6" customFormat="false" ht="15" hidden="false" customHeight="false" outlineLevel="0" collapsed="false">
      <c r="A6" s="10" t="n">
        <v>5</v>
      </c>
      <c r="B6" s="11" t="s">
        <v>311</v>
      </c>
      <c r="C6" s="10" t="s">
        <v>312</v>
      </c>
      <c r="D6" s="11" t="s">
        <v>313</v>
      </c>
      <c r="E6" s="10" t="s">
        <v>265</v>
      </c>
      <c r="F6" s="10" t="str">
        <f aca="false">IFERROR(INDEX(표준도메인!$G:$G,MATCH(E6,표준도메인!$B:$B,0)),"도메인 없음")</f>
        <v>VARCHAR(10)</v>
      </c>
      <c r="G6" s="11" t="s">
        <v>314</v>
      </c>
      <c r="H6" s="10"/>
    </row>
    <row r="7" customFormat="false" ht="15" hidden="false" customHeight="false" outlineLevel="0" collapsed="false">
      <c r="A7" s="10" t="n">
        <v>6</v>
      </c>
      <c r="B7" s="11" t="s">
        <v>315</v>
      </c>
      <c r="C7" s="10" t="s">
        <v>316</v>
      </c>
      <c r="D7" s="11" t="s">
        <v>317</v>
      </c>
      <c r="E7" s="10" t="s">
        <v>269</v>
      </c>
      <c r="F7" s="10" t="str">
        <f aca="false">IFERROR(INDEX(표준도메인!$G:$G,MATCH(E7,표준도메인!$B:$B,0)),"도메인 없음")</f>
        <v>VARCHAR(100)</v>
      </c>
      <c r="G7" s="11" t="s">
        <v>314</v>
      </c>
      <c r="H7" s="10"/>
    </row>
    <row r="8" customFormat="false" ht="15" hidden="false" customHeight="false" outlineLevel="0" collapsed="false">
      <c r="A8" s="10" t="n">
        <v>7</v>
      </c>
      <c r="B8" s="11" t="s">
        <v>318</v>
      </c>
      <c r="C8" s="10" t="s">
        <v>319</v>
      </c>
      <c r="D8" s="11" t="s">
        <v>320</v>
      </c>
      <c r="E8" s="10" t="s">
        <v>269</v>
      </c>
      <c r="F8" s="10" t="str">
        <f aca="false">IFERROR(INDEX(표준도메인!$G:$G,MATCH(E8,표준도메인!$B:$B,0)),"도메인 없음")</f>
        <v>VARCHAR(100)</v>
      </c>
      <c r="G8" s="11" t="s">
        <v>314</v>
      </c>
      <c r="H8" s="10"/>
    </row>
    <row r="9" customFormat="false" ht="15" hidden="false" customHeight="false" outlineLevel="0" collapsed="false">
      <c r="A9" s="10" t="n">
        <v>8</v>
      </c>
      <c r="B9" s="11" t="s">
        <v>321</v>
      </c>
      <c r="C9" s="10" t="s">
        <v>322</v>
      </c>
      <c r="D9" s="11" t="s">
        <v>323</v>
      </c>
      <c r="E9" s="10" t="s">
        <v>259</v>
      </c>
      <c r="F9" s="10" t="str">
        <f aca="false">IFERROR(INDEX(표준도메인!$G:$G,MATCH(E9,표준도메인!$B:$B,0)),"도메인 없음")</f>
        <v>BIGINT</v>
      </c>
      <c r="G9" s="11" t="s">
        <v>324</v>
      </c>
      <c r="H9" s="10"/>
    </row>
    <row r="10" customFormat="false" ht="15" hidden="false" customHeight="false" outlineLevel="0" collapsed="false">
      <c r="A10" s="10" t="n">
        <v>9</v>
      </c>
      <c r="B10" s="11" t="s">
        <v>325</v>
      </c>
      <c r="C10" s="10" t="s">
        <v>326</v>
      </c>
      <c r="D10" s="11" t="s">
        <v>327</v>
      </c>
      <c r="E10" s="10" t="s">
        <v>269</v>
      </c>
      <c r="F10" s="10" t="str">
        <f aca="false">IFERROR(INDEX(표준도메인!$G:$G,MATCH(E10,표준도메인!$B:$B,0)),"도메인 없음")</f>
        <v>VARCHAR(100)</v>
      </c>
      <c r="G10" s="11" t="s">
        <v>134</v>
      </c>
      <c r="H10" s="10"/>
    </row>
    <row r="11" customFormat="false" ht="15" hidden="false" customHeight="false" outlineLevel="0" collapsed="false">
      <c r="A11" s="10" t="n">
        <v>10</v>
      </c>
      <c r="B11" s="11" t="s">
        <v>328</v>
      </c>
      <c r="C11" s="10" t="s">
        <v>329</v>
      </c>
      <c r="D11" s="11" t="s">
        <v>330</v>
      </c>
      <c r="E11" s="10" t="s">
        <v>259</v>
      </c>
      <c r="F11" s="10" t="str">
        <f aca="false">IFERROR(INDEX(표준도메인!$G:$G,MATCH(E11,표준도메인!$B:$B,0)),"도메인 없음")</f>
        <v>BIGINT</v>
      </c>
      <c r="G11" s="11" t="s">
        <v>331</v>
      </c>
      <c r="H11" s="10"/>
    </row>
    <row r="12" customFormat="false" ht="15" hidden="false" customHeight="false" outlineLevel="0" collapsed="false">
      <c r="A12" s="10" t="n">
        <v>11</v>
      </c>
      <c r="B12" s="11" t="s">
        <v>332</v>
      </c>
      <c r="C12" s="10" t="s">
        <v>333</v>
      </c>
      <c r="D12" s="11" t="s">
        <v>334</v>
      </c>
      <c r="E12" s="10" t="s">
        <v>259</v>
      </c>
      <c r="F12" s="10" t="str">
        <f aca="false">IFERROR(INDEX(표준도메인!$G:$G,MATCH(E12,표준도메인!$B:$B,0)),"도메인 없음")</f>
        <v>BIGINT</v>
      </c>
      <c r="G12" s="11" t="s">
        <v>137</v>
      </c>
      <c r="H12" s="11" t="s">
        <v>335</v>
      </c>
    </row>
    <row r="13" customFormat="false" ht="15" hidden="false" customHeight="false" outlineLevel="0" collapsed="false">
      <c r="A13" s="10" t="n">
        <v>12</v>
      </c>
      <c r="B13" s="11" t="s">
        <v>336</v>
      </c>
      <c r="C13" s="10" t="s">
        <v>337</v>
      </c>
      <c r="D13" s="11" t="s">
        <v>338</v>
      </c>
      <c r="E13" s="10" t="s">
        <v>269</v>
      </c>
      <c r="F13" s="10" t="str">
        <f aca="false">IFERROR(INDEX(표준도메인!$G:$G,MATCH(E13,표준도메인!$B:$B,0)),"도메인 없음")</f>
        <v>VARCHAR(100)</v>
      </c>
      <c r="G13" s="11" t="s">
        <v>137</v>
      </c>
      <c r="H13" s="10"/>
    </row>
    <row r="14" customFormat="false" ht="15" hidden="false" customHeight="false" outlineLevel="0" collapsed="false">
      <c r="A14" s="10" t="n">
        <v>13</v>
      </c>
      <c r="B14" s="11" t="s">
        <v>339</v>
      </c>
      <c r="C14" s="10" t="s">
        <v>340</v>
      </c>
      <c r="D14" s="11" t="s">
        <v>341</v>
      </c>
      <c r="E14" s="10" t="s">
        <v>284</v>
      </c>
      <c r="F14" s="10" t="str">
        <f aca="false">IFERROR(INDEX(표준도메인!$G:$G,MATCH(E14,표준도메인!$B:$B,0)),"도메인 없음")</f>
        <v>SMALLINT</v>
      </c>
      <c r="G14" s="11" t="s">
        <v>137</v>
      </c>
      <c r="H14" s="10"/>
    </row>
    <row r="15" customFormat="false" ht="15" hidden="false" customHeight="false" outlineLevel="0" collapsed="false">
      <c r="A15" s="10" t="n">
        <v>14</v>
      </c>
      <c r="B15" s="11" t="s">
        <v>342</v>
      </c>
      <c r="C15" s="10" t="s">
        <v>343</v>
      </c>
      <c r="D15" s="11" t="s">
        <v>344</v>
      </c>
      <c r="E15" s="10" t="s">
        <v>267</v>
      </c>
      <c r="F15" s="10" t="str">
        <f aca="false">IFERROR(INDEX(표준도메인!$G:$G,MATCH(E15,표준도메인!$B:$B,0)),"도메인 없음")</f>
        <v>VARCHAR(20)</v>
      </c>
      <c r="G15" s="11" t="s">
        <v>137</v>
      </c>
      <c r="H15" s="10" t="s">
        <v>345</v>
      </c>
    </row>
    <row r="16" customFormat="false" ht="15" hidden="false" customHeight="false" outlineLevel="0" collapsed="false">
      <c r="A16" s="10" t="n">
        <v>15</v>
      </c>
      <c r="B16" s="11" t="s">
        <v>346</v>
      </c>
      <c r="C16" s="10" t="s">
        <v>347</v>
      </c>
      <c r="D16" s="11" t="s">
        <v>348</v>
      </c>
      <c r="E16" s="10" t="s">
        <v>259</v>
      </c>
      <c r="F16" s="10" t="str">
        <f aca="false">IFERROR(INDEX(표준도메인!$G:$G,MATCH(E16,표준도메인!$B:$B,0)),"도메인 없음")</f>
        <v>BIGINT</v>
      </c>
      <c r="G16" s="11" t="s">
        <v>349</v>
      </c>
      <c r="H16" s="10"/>
    </row>
    <row r="17" customFormat="false" ht="15" hidden="false" customHeight="false" outlineLevel="0" collapsed="false">
      <c r="A17" s="10" t="n">
        <v>16</v>
      </c>
      <c r="B17" s="11" t="s">
        <v>350</v>
      </c>
      <c r="C17" s="10" t="s">
        <v>351</v>
      </c>
      <c r="D17" s="11" t="s">
        <v>352</v>
      </c>
      <c r="E17" s="10" t="s">
        <v>262</v>
      </c>
      <c r="F17" s="10" t="str">
        <f aca="false">IFERROR(INDEX(표준도메인!$G:$G,MATCH(E17,표준도메인!$B:$B,0)),"도메인 없음")</f>
        <v>VARCHAR(32)</v>
      </c>
      <c r="G17" s="11" t="s">
        <v>145</v>
      </c>
      <c r="H17" s="10" t="s">
        <v>353</v>
      </c>
    </row>
    <row r="18" customFormat="false" ht="15" hidden="false" customHeight="false" outlineLevel="0" collapsed="false">
      <c r="A18" s="10" t="n">
        <v>17</v>
      </c>
      <c r="B18" s="11" t="s">
        <v>354</v>
      </c>
      <c r="C18" s="10" t="s">
        <v>355</v>
      </c>
      <c r="D18" s="11" t="s">
        <v>356</v>
      </c>
      <c r="E18" s="10" t="s">
        <v>269</v>
      </c>
      <c r="F18" s="10" t="str">
        <f aca="false">IFERROR(INDEX(표준도메인!$G:$G,MATCH(E18,표준도메인!$B:$B,0)),"도메인 없음")</f>
        <v>VARCHAR(100)</v>
      </c>
      <c r="G18" s="11" t="s">
        <v>145</v>
      </c>
      <c r="H18" s="11" t="s">
        <v>357</v>
      </c>
    </row>
    <row r="19" customFormat="false" ht="15" hidden="false" customHeight="false" outlineLevel="0" collapsed="false">
      <c r="A19" s="10" t="n">
        <v>18</v>
      </c>
      <c r="B19" s="11" t="s">
        <v>60</v>
      </c>
      <c r="C19" s="10" t="s">
        <v>61</v>
      </c>
      <c r="D19" s="11" t="s">
        <v>60</v>
      </c>
      <c r="E19" s="10" t="s">
        <v>273</v>
      </c>
      <c r="F19" s="10" t="str">
        <f aca="false">IFERROR(INDEX(표준도메인!$G:$G,MATCH(E19,표준도메인!$B:$B,0)),"도메인 없음")</f>
        <v>DECIMAL(12,2)</v>
      </c>
      <c r="G19" s="11" t="s">
        <v>145</v>
      </c>
      <c r="H19" s="11" t="s">
        <v>358</v>
      </c>
    </row>
    <row r="20" customFormat="false" ht="15" hidden="false" customHeight="false" outlineLevel="0" collapsed="false">
      <c r="A20" s="10" t="n">
        <v>19</v>
      </c>
      <c r="B20" s="11" t="s">
        <v>93</v>
      </c>
      <c r="C20" s="10" t="s">
        <v>94</v>
      </c>
      <c r="D20" s="11" t="s">
        <v>93</v>
      </c>
      <c r="E20" s="10" t="s">
        <v>287</v>
      </c>
      <c r="F20" s="10" t="str">
        <f aca="false">IFERROR(INDEX(표준도메인!$G:$G,MATCH(E20,표준도메인!$B:$B,0)),"도메인 없음")</f>
        <v>INTEGER</v>
      </c>
      <c r="G20" s="11" t="s">
        <v>145</v>
      </c>
      <c r="H20" s="10" t="s">
        <v>359</v>
      </c>
    </row>
    <row r="21" customFormat="false" ht="15" hidden="false" customHeight="false" outlineLevel="0" collapsed="false">
      <c r="A21" s="10" t="n">
        <v>20</v>
      </c>
      <c r="B21" s="11" t="s">
        <v>98</v>
      </c>
      <c r="C21" s="10" t="s">
        <v>99</v>
      </c>
      <c r="D21" s="11" t="s">
        <v>98</v>
      </c>
      <c r="E21" s="10" t="s">
        <v>289</v>
      </c>
      <c r="F21" s="10" t="str">
        <f aca="false">IFERROR(INDEX(표준도메인!$G:$G,MATCH(E21,표준도메인!$B:$B,0)),"도메인 없음")</f>
        <v>INTEGER</v>
      </c>
      <c r="G21" s="11" t="s">
        <v>145</v>
      </c>
      <c r="H21" s="10" t="s">
        <v>360</v>
      </c>
    </row>
    <row r="22" customFormat="false" ht="15" hidden="false" customHeight="false" outlineLevel="0" collapsed="false">
      <c r="A22" s="10" t="n">
        <v>21</v>
      </c>
      <c r="B22" s="11" t="s">
        <v>102</v>
      </c>
      <c r="C22" s="10" t="s">
        <v>103</v>
      </c>
      <c r="D22" s="11" t="s">
        <v>102</v>
      </c>
      <c r="E22" s="10" t="s">
        <v>289</v>
      </c>
      <c r="F22" s="10" t="str">
        <f aca="false">IFERROR(INDEX(표준도메인!$G:$G,MATCH(E22,표준도메인!$B:$B,0)),"도메인 없음")</f>
        <v>INTEGER</v>
      </c>
      <c r="G22" s="11" t="s">
        <v>145</v>
      </c>
      <c r="H22" s="10" t="s">
        <v>361</v>
      </c>
    </row>
    <row r="23" customFormat="false" ht="15" hidden="false" customHeight="false" outlineLevel="0" collapsed="false">
      <c r="A23" s="10" t="n">
        <v>22</v>
      </c>
      <c r="B23" s="11" t="s">
        <v>105</v>
      </c>
      <c r="C23" s="10" t="s">
        <v>106</v>
      </c>
      <c r="D23" s="11" t="s">
        <v>105</v>
      </c>
      <c r="E23" s="10" t="s">
        <v>289</v>
      </c>
      <c r="F23" s="10" t="str">
        <f aca="false">IFERROR(INDEX(표준도메인!$G:$G,MATCH(E23,표준도메인!$B:$B,0)),"도메인 없음")</f>
        <v>INTEGER</v>
      </c>
      <c r="G23" s="11" t="s">
        <v>145</v>
      </c>
      <c r="H23" s="10" t="s">
        <v>362</v>
      </c>
    </row>
    <row r="24" customFormat="false" ht="29.85" hidden="false" customHeight="false" outlineLevel="0" collapsed="false">
      <c r="A24" s="10" t="n">
        <v>23</v>
      </c>
      <c r="B24" s="11" t="s">
        <v>363</v>
      </c>
      <c r="C24" s="10" t="s">
        <v>364</v>
      </c>
      <c r="D24" s="11" t="s">
        <v>365</v>
      </c>
      <c r="E24" s="10" t="s">
        <v>259</v>
      </c>
      <c r="F24" s="10" t="str">
        <f aca="false">IFERROR(INDEX(표준도메인!$G:$G,MATCH(E24,표준도메인!$B:$B,0)),"도메인 없음")</f>
        <v>BIGINT</v>
      </c>
      <c r="G24" s="11" t="s">
        <v>366</v>
      </c>
      <c r="H24" s="10"/>
    </row>
    <row r="25" customFormat="false" ht="15" hidden="false" customHeight="false" outlineLevel="0" collapsed="false">
      <c r="A25" s="10" t="n">
        <v>24</v>
      </c>
      <c r="B25" s="11" t="s">
        <v>367</v>
      </c>
      <c r="C25" s="10" t="s">
        <v>368</v>
      </c>
      <c r="D25" s="11" t="s">
        <v>369</v>
      </c>
      <c r="E25" s="10" t="s">
        <v>269</v>
      </c>
      <c r="F25" s="10" t="str">
        <f aca="false">IFERROR(INDEX(표준도메인!$G:$G,MATCH(E25,표준도메인!$B:$B,0)),"도메인 없음")</f>
        <v>VARCHAR(100)</v>
      </c>
      <c r="G25" s="11" t="s">
        <v>370</v>
      </c>
      <c r="H25" s="10"/>
    </row>
    <row r="26" customFormat="false" ht="15" hidden="false" customHeight="false" outlineLevel="0" collapsed="false">
      <c r="A26" s="10" t="n">
        <v>25</v>
      </c>
      <c r="B26" s="11" t="s">
        <v>371</v>
      </c>
      <c r="C26" s="10" t="s">
        <v>372</v>
      </c>
      <c r="D26" s="11" t="s">
        <v>373</v>
      </c>
      <c r="E26" s="10" t="s">
        <v>259</v>
      </c>
      <c r="F26" s="10" t="str">
        <f aca="false">IFERROR(INDEX(표준도메인!$G:$G,MATCH(E26,표준도메인!$B:$B,0)),"도메인 없음")</f>
        <v>BIGINT</v>
      </c>
      <c r="G26" s="11" t="s">
        <v>374</v>
      </c>
      <c r="H26" s="10"/>
    </row>
    <row r="27" customFormat="false" ht="15" hidden="false" customHeight="false" outlineLevel="0" collapsed="false">
      <c r="A27" s="10" t="n">
        <v>26</v>
      </c>
      <c r="B27" s="11" t="s">
        <v>375</v>
      </c>
      <c r="C27" s="10" t="s">
        <v>376</v>
      </c>
      <c r="D27" s="11" t="s">
        <v>377</v>
      </c>
      <c r="E27" s="10" t="s">
        <v>269</v>
      </c>
      <c r="F27" s="10" t="str">
        <f aca="false">IFERROR(INDEX(표준도메인!$G:$G,MATCH(E27,표준도메인!$B:$B,0)),"도메인 없음")</f>
        <v>VARCHAR(100)</v>
      </c>
      <c r="G27" s="11" t="s">
        <v>152</v>
      </c>
      <c r="H27" s="10"/>
    </row>
    <row r="28" customFormat="false" ht="15" hidden="false" customHeight="false" outlineLevel="0" collapsed="false">
      <c r="A28" s="10" t="n">
        <v>27</v>
      </c>
      <c r="B28" s="11" t="s">
        <v>378</v>
      </c>
      <c r="C28" s="10" t="s">
        <v>379</v>
      </c>
      <c r="D28" s="11" t="s">
        <v>380</v>
      </c>
      <c r="E28" s="10" t="s">
        <v>51</v>
      </c>
      <c r="F28" s="10" t="str">
        <f aca="false">IFERROR(INDEX(표준도메인!$G:$G,MATCH(E28,표준도메인!$B:$B,0)),"도메인 없음")</f>
        <v>DATE</v>
      </c>
      <c r="G28" s="11" t="s">
        <v>152</v>
      </c>
      <c r="H28" s="10"/>
    </row>
    <row r="29" customFormat="false" ht="15" hidden="false" customHeight="false" outlineLevel="0" collapsed="false">
      <c r="A29" s="10" t="n">
        <v>28</v>
      </c>
      <c r="B29" s="11" t="s">
        <v>381</v>
      </c>
      <c r="C29" s="10" t="s">
        <v>382</v>
      </c>
      <c r="D29" s="11" t="s">
        <v>383</v>
      </c>
      <c r="E29" s="10" t="s">
        <v>267</v>
      </c>
      <c r="F29" s="10" t="str">
        <f aca="false">IFERROR(INDEX(표준도메인!$G:$G,MATCH(E29,표준도메인!$B:$B,0)),"도메인 없음")</f>
        <v>VARCHAR(20)</v>
      </c>
      <c r="G29" s="11" t="s">
        <v>384</v>
      </c>
      <c r="H29" s="10" t="s">
        <v>385</v>
      </c>
    </row>
    <row r="30" customFormat="false" ht="15" hidden="false" customHeight="false" outlineLevel="0" collapsed="false">
      <c r="A30" s="10" t="n">
        <v>29</v>
      </c>
      <c r="B30" s="11" t="s">
        <v>386</v>
      </c>
      <c r="C30" s="10" t="s">
        <v>387</v>
      </c>
      <c r="D30" s="11" t="s">
        <v>388</v>
      </c>
      <c r="E30" s="10" t="s">
        <v>277</v>
      </c>
      <c r="F30" s="10" t="str">
        <f aca="false">IFERROR(INDEX(표준도메인!$G:$G,MATCH(E30,표준도메인!$B:$B,0)),"도메인 없음")</f>
        <v>INTEGER</v>
      </c>
      <c r="G30" s="11" t="s">
        <v>389</v>
      </c>
      <c r="H30" s="10"/>
    </row>
    <row r="31" customFormat="false" ht="15" hidden="false" customHeight="false" outlineLevel="0" collapsed="false">
      <c r="A31" s="10" t="n">
        <v>30</v>
      </c>
      <c r="B31" s="11" t="s">
        <v>390</v>
      </c>
      <c r="C31" s="10" t="s">
        <v>391</v>
      </c>
      <c r="D31" s="11" t="s">
        <v>392</v>
      </c>
      <c r="E31" s="10" t="s">
        <v>46</v>
      </c>
      <c r="F31" s="10" t="str">
        <f aca="false">IFERROR(INDEX(표준도메인!$G:$G,MATCH(E31,표준도메인!$B:$B,0)),"도메인 없음")</f>
        <v>DATETIME</v>
      </c>
      <c r="G31" s="11" t="s">
        <v>389</v>
      </c>
      <c r="H31" s="11" t="s">
        <v>393</v>
      </c>
    </row>
    <row r="32" customFormat="false" ht="15" hidden="false" customHeight="false" outlineLevel="0" collapsed="false">
      <c r="A32" s="10" t="n">
        <v>31</v>
      </c>
      <c r="B32" s="11" t="s">
        <v>394</v>
      </c>
      <c r="C32" s="10" t="s">
        <v>395</v>
      </c>
      <c r="D32" s="11" t="s">
        <v>396</v>
      </c>
      <c r="E32" s="10" t="s">
        <v>259</v>
      </c>
      <c r="F32" s="10" t="str">
        <f aca="false">IFERROR(INDEX(표준도메인!$G:$G,MATCH(E32,표준도메인!$B:$B,0)),"도메인 없음")</f>
        <v>BIGINT</v>
      </c>
      <c r="G32" s="11" t="s">
        <v>397</v>
      </c>
      <c r="H32" s="10"/>
    </row>
    <row r="33" customFormat="false" ht="15" hidden="false" customHeight="false" outlineLevel="0" collapsed="false">
      <c r="A33" s="10" t="n">
        <v>32</v>
      </c>
      <c r="B33" s="11" t="s">
        <v>398</v>
      </c>
      <c r="C33" s="10" t="s">
        <v>399</v>
      </c>
      <c r="D33" s="11" t="s">
        <v>400</v>
      </c>
      <c r="E33" s="10" t="s">
        <v>267</v>
      </c>
      <c r="F33" s="10" t="str">
        <f aca="false">IFERROR(INDEX(표준도메인!$G:$G,MATCH(E33,표준도메인!$B:$B,0)),"도메인 없음")</f>
        <v>VARCHAR(20)</v>
      </c>
      <c r="G33" s="11" t="s">
        <v>397</v>
      </c>
      <c r="H33" s="10"/>
    </row>
    <row r="34" customFormat="false" ht="15" hidden="false" customHeight="false" outlineLevel="0" collapsed="false">
      <c r="A34" s="10" t="n">
        <v>33</v>
      </c>
      <c r="B34" s="11" t="s">
        <v>401</v>
      </c>
      <c r="C34" s="10" t="s">
        <v>402</v>
      </c>
      <c r="D34" s="11" t="s">
        <v>403</v>
      </c>
      <c r="E34" s="10" t="s">
        <v>277</v>
      </c>
      <c r="F34" s="10" t="str">
        <f aca="false">IFERROR(INDEX(표준도메인!$G:$G,MATCH(E34,표준도메인!$B:$B,0)),"도메인 없음")</f>
        <v>INTEGER</v>
      </c>
      <c r="G34" s="11" t="s">
        <v>397</v>
      </c>
      <c r="H34" s="11" t="s">
        <v>404</v>
      </c>
    </row>
    <row r="35" customFormat="false" ht="15" hidden="false" customHeight="false" outlineLevel="0" collapsed="false">
      <c r="A35" s="10" t="n">
        <v>34</v>
      </c>
      <c r="B35" s="11" t="s">
        <v>405</v>
      </c>
      <c r="C35" s="10" t="s">
        <v>406</v>
      </c>
      <c r="D35" s="11" t="s">
        <v>407</v>
      </c>
      <c r="E35" s="10" t="s">
        <v>46</v>
      </c>
      <c r="F35" s="10" t="str">
        <f aca="false">IFERROR(INDEX(표준도메인!$G:$G,MATCH(E35,표준도메인!$B:$B,0)),"도메인 없음")</f>
        <v>DATETIME</v>
      </c>
      <c r="G35" s="11" t="s">
        <v>397</v>
      </c>
      <c r="H35" s="10"/>
    </row>
    <row r="36" customFormat="false" ht="15" hidden="false" customHeight="false" outlineLevel="0" collapsed="false">
      <c r="A36" s="10" t="n">
        <v>35</v>
      </c>
      <c r="B36" s="11" t="s">
        <v>408</v>
      </c>
      <c r="C36" s="10" t="s">
        <v>409</v>
      </c>
      <c r="D36" s="11" t="s">
        <v>410</v>
      </c>
      <c r="E36" s="10" t="s">
        <v>267</v>
      </c>
      <c r="F36" s="10" t="str">
        <f aca="false">IFERROR(INDEX(표준도메인!$G:$G,MATCH(E36,표준도메인!$B:$B,0)),"도메인 없음")</f>
        <v>VARCHAR(20)</v>
      </c>
      <c r="G36" s="11" t="s">
        <v>397</v>
      </c>
      <c r="H36" s="10" t="s">
        <v>411</v>
      </c>
    </row>
    <row r="37" customFormat="false" ht="15" hidden="false" customHeight="false" outlineLevel="0" collapsed="false">
      <c r="A37" s="10" t="n">
        <v>36</v>
      </c>
      <c r="B37" s="11" t="s">
        <v>412</v>
      </c>
      <c r="C37" s="10" t="s">
        <v>413</v>
      </c>
      <c r="D37" s="11" t="s">
        <v>414</v>
      </c>
      <c r="E37" s="10" t="s">
        <v>259</v>
      </c>
      <c r="F37" s="10" t="str">
        <f aca="false">IFERROR(INDEX(표준도메인!$G:$G,MATCH(E37,표준도메인!$B:$B,0)),"도메인 없음")</f>
        <v>BIGINT</v>
      </c>
      <c r="G37" s="11" t="s">
        <v>415</v>
      </c>
      <c r="H37" s="10"/>
    </row>
    <row r="38" customFormat="false" ht="15" hidden="false" customHeight="false" outlineLevel="0" collapsed="false">
      <c r="A38" s="10" t="n">
        <v>37</v>
      </c>
      <c r="B38" s="11" t="s">
        <v>416</v>
      </c>
      <c r="C38" s="10" t="s">
        <v>417</v>
      </c>
      <c r="D38" s="11" t="s">
        <v>418</v>
      </c>
      <c r="E38" s="10" t="s">
        <v>262</v>
      </c>
      <c r="F38" s="10" t="str">
        <f aca="false">IFERROR(INDEX(표준도메인!$G:$G,MATCH(E38,표준도메인!$B:$B,0)),"도메인 없음")</f>
        <v>VARCHAR(32)</v>
      </c>
      <c r="G38" s="11" t="s">
        <v>186</v>
      </c>
      <c r="H38" s="10" t="s">
        <v>419</v>
      </c>
    </row>
    <row r="39" customFormat="false" ht="15" hidden="false" customHeight="false" outlineLevel="0" collapsed="false">
      <c r="A39" s="10" t="n">
        <v>38</v>
      </c>
      <c r="B39" s="11" t="s">
        <v>420</v>
      </c>
      <c r="C39" s="10" t="s">
        <v>421</v>
      </c>
      <c r="D39" s="11" t="s">
        <v>422</v>
      </c>
      <c r="E39" s="10" t="s">
        <v>267</v>
      </c>
      <c r="F39" s="10" t="str">
        <f aca="false">IFERROR(INDEX(표준도메인!$G:$G,MATCH(E39,표준도메인!$B:$B,0)),"도메인 없음")</f>
        <v>VARCHAR(20)</v>
      </c>
      <c r="G39" s="11" t="s">
        <v>186</v>
      </c>
      <c r="H39" s="10" t="s">
        <v>423</v>
      </c>
    </row>
    <row r="40" customFormat="false" ht="15" hidden="false" customHeight="false" outlineLevel="0" collapsed="false">
      <c r="A40" s="10" t="n">
        <v>39</v>
      </c>
      <c r="B40" s="11" t="s">
        <v>424</v>
      </c>
      <c r="C40" s="10" t="s">
        <v>425</v>
      </c>
      <c r="D40" s="11" t="s">
        <v>426</v>
      </c>
      <c r="E40" s="10" t="s">
        <v>267</v>
      </c>
      <c r="F40" s="10" t="str">
        <f aca="false">IFERROR(INDEX(표준도메인!$G:$G,MATCH(E40,표준도메인!$B:$B,0)),"도메인 없음")</f>
        <v>VARCHAR(20)</v>
      </c>
      <c r="G40" s="11" t="s">
        <v>186</v>
      </c>
      <c r="H40" s="10"/>
    </row>
    <row r="41" customFormat="false" ht="15" hidden="false" customHeight="false" outlineLevel="0" collapsed="false">
      <c r="A41" s="10" t="n">
        <v>40</v>
      </c>
      <c r="B41" s="11" t="s">
        <v>427</v>
      </c>
      <c r="C41" s="10" t="s">
        <v>428</v>
      </c>
      <c r="D41" s="11" t="s">
        <v>429</v>
      </c>
      <c r="E41" s="10" t="s">
        <v>46</v>
      </c>
      <c r="F41" s="10" t="str">
        <f aca="false">IFERROR(INDEX(표준도메인!$G:$G,MATCH(E41,표준도메인!$B:$B,0)),"도메인 없음")</f>
        <v>DATETIME</v>
      </c>
      <c r="G41" s="11" t="s">
        <v>186</v>
      </c>
      <c r="H41" s="10" t="s">
        <v>430</v>
      </c>
    </row>
    <row r="42" customFormat="false" ht="15" hidden="false" customHeight="false" outlineLevel="0" collapsed="false">
      <c r="A42" s="10" t="n">
        <v>41</v>
      </c>
      <c r="B42" s="11" t="s">
        <v>431</v>
      </c>
      <c r="C42" s="10" t="s">
        <v>432</v>
      </c>
      <c r="D42" s="11" t="s">
        <v>433</v>
      </c>
      <c r="E42" s="10" t="s">
        <v>46</v>
      </c>
      <c r="F42" s="10" t="str">
        <f aca="false">IFERROR(INDEX(표준도메인!$G:$G,MATCH(E42,표준도메인!$B:$B,0)),"도메인 없음")</f>
        <v>DATETIME</v>
      </c>
      <c r="G42" s="11" t="s">
        <v>186</v>
      </c>
      <c r="H42" s="10" t="s">
        <v>434</v>
      </c>
    </row>
    <row r="43" customFormat="false" ht="23.85" hidden="false" customHeight="false" outlineLevel="0" collapsed="false">
      <c r="A43" s="10" t="n">
        <v>42</v>
      </c>
      <c r="B43" s="11" t="s">
        <v>435</v>
      </c>
      <c r="C43" s="10" t="s">
        <v>436</v>
      </c>
      <c r="D43" s="11" t="s">
        <v>437</v>
      </c>
      <c r="E43" s="10" t="s">
        <v>46</v>
      </c>
      <c r="F43" s="10" t="str">
        <f aca="false">IFERROR(INDEX(표준도메인!$G:$G,MATCH(E43,표준도메인!$B:$B,0)),"도메인 없음")</f>
        <v>DATETIME</v>
      </c>
      <c r="G43" s="11" t="s">
        <v>186</v>
      </c>
      <c r="H43" s="10" t="s">
        <v>438</v>
      </c>
    </row>
    <row r="44" customFormat="false" ht="23.85" hidden="false" customHeight="false" outlineLevel="0" collapsed="false">
      <c r="A44" s="10" t="n">
        <v>43</v>
      </c>
      <c r="B44" s="11" t="s">
        <v>439</v>
      </c>
      <c r="C44" s="10" t="s">
        <v>440</v>
      </c>
      <c r="D44" s="11" t="s">
        <v>441</v>
      </c>
      <c r="E44" s="10" t="s">
        <v>46</v>
      </c>
      <c r="F44" s="10" t="str">
        <f aca="false">IFERROR(INDEX(표준도메인!$G:$G,MATCH(E44,표준도메인!$B:$B,0)),"도메인 없음")</f>
        <v>DATETIME</v>
      </c>
      <c r="G44" s="11" t="s">
        <v>186</v>
      </c>
      <c r="H44" s="10" t="s">
        <v>442</v>
      </c>
    </row>
    <row r="45" customFormat="false" ht="29.85" hidden="false" customHeight="false" outlineLevel="0" collapsed="false">
      <c r="A45" s="10" t="n">
        <v>44</v>
      </c>
      <c r="B45" s="11" t="s">
        <v>443</v>
      </c>
      <c r="C45" s="10" t="s">
        <v>444</v>
      </c>
      <c r="D45" s="11" t="s">
        <v>445</v>
      </c>
      <c r="E45" s="10" t="s">
        <v>46</v>
      </c>
      <c r="F45" s="10" t="str">
        <f aca="false">IFERROR(INDEX(표준도메인!$G:$G,MATCH(E45,표준도메인!$B:$B,0)),"도메인 없음")</f>
        <v>DATETIME</v>
      </c>
      <c r="G45" s="11" t="s">
        <v>186</v>
      </c>
      <c r="H45" s="11" t="s">
        <v>446</v>
      </c>
    </row>
    <row r="46" customFormat="false" ht="26.85" hidden="false" customHeight="false" outlineLevel="0" collapsed="false">
      <c r="A46" s="10" t="n">
        <v>45</v>
      </c>
      <c r="B46" s="11" t="s">
        <v>447</v>
      </c>
      <c r="C46" s="10" t="s">
        <v>448</v>
      </c>
      <c r="D46" s="11" t="s">
        <v>449</v>
      </c>
      <c r="E46" s="10" t="s">
        <v>51</v>
      </c>
      <c r="F46" s="10" t="str">
        <f aca="false">IFERROR(INDEX(표준도메인!$G:$G,MATCH(E46,표준도메인!$B:$B,0)),"도메인 없음")</f>
        <v>DATE</v>
      </c>
      <c r="G46" s="11" t="s">
        <v>186</v>
      </c>
      <c r="H46" s="10" t="s">
        <v>450</v>
      </c>
    </row>
    <row r="47" customFormat="false" ht="15" hidden="false" customHeight="false" outlineLevel="0" collapsed="false">
      <c r="A47" s="10" t="n">
        <v>46</v>
      </c>
      <c r="B47" s="11" t="s">
        <v>451</v>
      </c>
      <c r="C47" s="10" t="s">
        <v>452</v>
      </c>
      <c r="D47" s="11" t="s">
        <v>453</v>
      </c>
      <c r="E47" s="10" t="s">
        <v>46</v>
      </c>
      <c r="F47" s="10" t="str">
        <f aca="false">IFERROR(INDEX(표준도메인!$G:$G,MATCH(E47,표준도메인!$B:$B,0)),"도메인 없음")</f>
        <v>DATETIME</v>
      </c>
      <c r="G47" s="11" t="s">
        <v>186</v>
      </c>
      <c r="H47" s="10"/>
    </row>
    <row r="48" customFormat="false" ht="15" hidden="false" customHeight="false" outlineLevel="0" collapsed="false">
      <c r="A48" s="10" t="n">
        <v>47</v>
      </c>
      <c r="B48" s="11" t="s">
        <v>454</v>
      </c>
      <c r="C48" s="10" t="s">
        <v>455</v>
      </c>
      <c r="D48" s="11" t="s">
        <v>456</v>
      </c>
      <c r="E48" s="10" t="s">
        <v>265</v>
      </c>
      <c r="F48" s="10" t="str">
        <f aca="false">IFERROR(INDEX(표준도메인!$G:$G,MATCH(E48,표준도메인!$B:$B,0)),"도메인 없음")</f>
        <v>VARCHAR(10)</v>
      </c>
      <c r="G48" s="11" t="s">
        <v>186</v>
      </c>
      <c r="H48" s="10" t="s">
        <v>457</v>
      </c>
    </row>
    <row r="49" customFormat="false" ht="15" hidden="false" customHeight="false" outlineLevel="0" collapsed="false">
      <c r="A49" s="10" t="n">
        <v>48</v>
      </c>
      <c r="B49" s="11" t="s">
        <v>458</v>
      </c>
      <c r="C49" s="10" t="s">
        <v>459</v>
      </c>
      <c r="D49" s="11" t="s">
        <v>460</v>
      </c>
      <c r="E49" s="10" t="s">
        <v>269</v>
      </c>
      <c r="F49" s="10" t="str">
        <f aca="false">IFERROR(INDEX(표준도메인!$G:$G,MATCH(E49,표준도메인!$B:$B,0)),"도메인 없음")</f>
        <v>VARCHAR(100)</v>
      </c>
      <c r="G49" s="11" t="s">
        <v>186</v>
      </c>
      <c r="H49" s="10"/>
    </row>
    <row r="50" customFormat="false" ht="15" hidden="false" customHeight="false" outlineLevel="0" collapsed="false">
      <c r="A50" s="10" t="n">
        <v>49</v>
      </c>
      <c r="B50" s="11" t="s">
        <v>461</v>
      </c>
      <c r="C50" s="10" t="s">
        <v>462</v>
      </c>
      <c r="D50" s="11" t="s">
        <v>463</v>
      </c>
      <c r="E50" s="10" t="s">
        <v>269</v>
      </c>
      <c r="F50" s="10" t="str">
        <f aca="false">IFERROR(INDEX(표준도메인!$G:$G,MATCH(E50,표준도메인!$B:$B,0)),"도메인 없음")</f>
        <v>VARCHAR(100)</v>
      </c>
      <c r="G50" s="11" t="s">
        <v>186</v>
      </c>
      <c r="H50" s="10"/>
    </row>
    <row r="51" customFormat="false" ht="15" hidden="false" customHeight="false" outlineLevel="0" collapsed="false">
      <c r="A51" s="10" t="n">
        <v>50</v>
      </c>
      <c r="B51" s="11" t="s">
        <v>464</v>
      </c>
      <c r="C51" s="10" t="s">
        <v>465</v>
      </c>
      <c r="D51" s="11" t="s">
        <v>466</v>
      </c>
      <c r="E51" s="10" t="s">
        <v>280</v>
      </c>
      <c r="F51" s="10" t="str">
        <f aca="false">IFERROR(INDEX(표준도메인!$G:$G,MATCH(E51,표준도메인!$B:$B,0)),"도메인 없음")</f>
        <v>INTEGER</v>
      </c>
      <c r="G51" s="11" t="s">
        <v>467</v>
      </c>
      <c r="H51" s="10"/>
    </row>
    <row r="52" customFormat="false" ht="15" hidden="false" customHeight="false" outlineLevel="0" collapsed="false">
      <c r="A52" s="10" t="n">
        <v>51</v>
      </c>
      <c r="B52" s="11" t="s">
        <v>468</v>
      </c>
      <c r="C52" s="10" t="s">
        <v>469</v>
      </c>
      <c r="D52" s="11" t="s">
        <v>470</v>
      </c>
      <c r="E52" s="10" t="s">
        <v>277</v>
      </c>
      <c r="F52" s="10" t="str">
        <f aca="false">IFERROR(INDEX(표준도메인!$G:$G,MATCH(E52,표준도메인!$B:$B,0)),"도메인 없음")</f>
        <v>INTEGER</v>
      </c>
      <c r="G52" s="11" t="s">
        <v>467</v>
      </c>
      <c r="H52" s="10" t="s">
        <v>471</v>
      </c>
    </row>
    <row r="53" customFormat="false" ht="15" hidden="false" customHeight="false" outlineLevel="0" collapsed="false">
      <c r="A53" s="10" t="n">
        <v>52</v>
      </c>
      <c r="B53" s="11" t="s">
        <v>472</v>
      </c>
      <c r="C53" s="10" t="s">
        <v>473</v>
      </c>
      <c r="D53" s="11" t="s">
        <v>474</v>
      </c>
      <c r="E53" s="10" t="s">
        <v>273</v>
      </c>
      <c r="F53" s="10" t="str">
        <f aca="false">IFERROR(INDEX(표준도메인!$G:$G,MATCH(E53,표준도메인!$B:$B,0)),"도메인 없음")</f>
        <v>DECIMAL(12,2)</v>
      </c>
      <c r="G53" s="11" t="s">
        <v>467</v>
      </c>
      <c r="H53" s="10" t="s">
        <v>475</v>
      </c>
    </row>
    <row r="54" customFormat="false" ht="15" hidden="false" customHeight="false" outlineLevel="0" collapsed="false">
      <c r="A54" s="10" t="n">
        <v>53</v>
      </c>
      <c r="B54" s="11" t="s">
        <v>476</v>
      </c>
      <c r="C54" s="10" t="s">
        <v>477</v>
      </c>
      <c r="D54" s="11" t="s">
        <v>478</v>
      </c>
      <c r="E54" s="10" t="s">
        <v>273</v>
      </c>
      <c r="F54" s="10" t="str">
        <f aca="false">IFERROR(INDEX(표준도메인!$G:$G,MATCH(E54,표준도메인!$B:$B,0)),"도메인 없음")</f>
        <v>DECIMAL(12,2)</v>
      </c>
      <c r="G54" s="11" t="s">
        <v>467</v>
      </c>
      <c r="H54" s="10" t="s">
        <v>479</v>
      </c>
    </row>
    <row r="55" customFormat="false" ht="15" hidden="false" customHeight="false" outlineLevel="0" collapsed="false">
      <c r="A55" s="10" t="n">
        <v>54</v>
      </c>
      <c r="B55" s="11" t="s">
        <v>480</v>
      </c>
      <c r="C55" s="10" t="s">
        <v>481</v>
      </c>
      <c r="D55" s="11" t="s">
        <v>482</v>
      </c>
      <c r="E55" s="10" t="s">
        <v>280</v>
      </c>
      <c r="F55" s="10" t="str">
        <f aca="false">IFERROR(INDEX(표준도메인!$G:$G,MATCH(E55,표준도메인!$B:$B,0)),"도메인 없음")</f>
        <v>INTEGER</v>
      </c>
      <c r="G55" s="11" t="s">
        <v>197</v>
      </c>
      <c r="H55" s="10" t="s">
        <v>483</v>
      </c>
    </row>
    <row r="56" customFormat="false" ht="15" hidden="false" customHeight="false" outlineLevel="0" collapsed="false">
      <c r="A56" s="10" t="n">
        <v>55</v>
      </c>
      <c r="B56" s="11" t="s">
        <v>484</v>
      </c>
      <c r="C56" s="10" t="s">
        <v>485</v>
      </c>
      <c r="D56" s="11" t="s">
        <v>486</v>
      </c>
      <c r="E56" s="10" t="s">
        <v>267</v>
      </c>
      <c r="F56" s="10" t="str">
        <f aca="false">IFERROR(INDEX(표준도메인!$G:$G,MATCH(E56,표준도메인!$B:$B,0)),"도메인 없음")</f>
        <v>VARCHAR(20)</v>
      </c>
      <c r="G56" s="11" t="s">
        <v>197</v>
      </c>
      <c r="H56" s="10"/>
    </row>
    <row r="57" customFormat="false" ht="15" hidden="false" customHeight="false" outlineLevel="0" collapsed="false">
      <c r="A57" s="10" t="n">
        <v>56</v>
      </c>
      <c r="B57" s="11" t="s">
        <v>487</v>
      </c>
      <c r="C57" s="10" t="s">
        <v>488</v>
      </c>
      <c r="D57" s="11" t="s">
        <v>489</v>
      </c>
      <c r="E57" s="10" t="s">
        <v>282</v>
      </c>
      <c r="F57" s="10" t="str">
        <f aca="false">IFERROR(INDEX(표준도메인!$G:$G,MATCH(E57,표준도메인!$B:$B,0)),"도메인 없음")</f>
        <v>INTEGER</v>
      </c>
      <c r="G57" s="11" t="s">
        <v>197</v>
      </c>
      <c r="H57" s="10" t="s">
        <v>490</v>
      </c>
    </row>
    <row r="58" customFormat="false" ht="15" hidden="false" customHeight="false" outlineLevel="0" collapsed="false">
      <c r="A58" s="10" t="n">
        <v>57</v>
      </c>
      <c r="B58" s="11" t="s">
        <v>491</v>
      </c>
      <c r="C58" s="10" t="s">
        <v>492</v>
      </c>
      <c r="D58" s="11" t="s">
        <v>493</v>
      </c>
      <c r="E58" s="10" t="s">
        <v>273</v>
      </c>
      <c r="F58" s="10" t="str">
        <f aca="false">IFERROR(INDEX(표준도메인!$G:$G,MATCH(E58,표준도메인!$B:$B,0)),"도메인 없음")</f>
        <v>DECIMAL(12,2)</v>
      </c>
      <c r="G58" s="11" t="s">
        <v>197</v>
      </c>
      <c r="H58" s="10" t="s">
        <v>494</v>
      </c>
    </row>
  </sheetData>
  <autoFilter ref="A1:H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4" min="3" style="0" width="14"/>
    <col collapsed="false" customWidth="true" hidden="false" outlineLevel="0" max="5" min="5" style="0" width="28"/>
    <col collapsed="false" customWidth="true" hidden="false" outlineLevel="0" max="6" min="6" style="0" width="32"/>
  </cols>
  <sheetData>
    <row r="1" customFormat="false" ht="15" hidden="false" customHeight="false" outlineLevel="0" collapsed="false">
      <c r="A1" s="6" t="s">
        <v>21</v>
      </c>
      <c r="B1" s="7" t="s">
        <v>495</v>
      </c>
      <c r="C1" s="7" t="s">
        <v>496</v>
      </c>
      <c r="D1" s="7" t="s">
        <v>497</v>
      </c>
      <c r="E1" s="7" t="s">
        <v>498</v>
      </c>
      <c r="F1" s="7" t="s">
        <v>27</v>
      </c>
    </row>
    <row r="2" customFormat="false" ht="15" hidden="false" customHeight="false" outlineLevel="0" collapsed="false">
      <c r="A2" s="10" t="n">
        <v>1</v>
      </c>
      <c r="B2" s="11" t="s">
        <v>420</v>
      </c>
      <c r="C2" s="10" t="s">
        <v>499</v>
      </c>
      <c r="D2" s="11" t="s">
        <v>500</v>
      </c>
      <c r="E2" s="10"/>
      <c r="F2" s="11" t="s">
        <v>501</v>
      </c>
    </row>
    <row r="3" customFormat="false" ht="15" hidden="false" customHeight="false" outlineLevel="0" collapsed="false">
      <c r="A3" s="10" t="n">
        <v>2</v>
      </c>
      <c r="B3" s="11" t="s">
        <v>420</v>
      </c>
      <c r="C3" s="10" t="s">
        <v>502</v>
      </c>
      <c r="D3" s="11" t="s">
        <v>503</v>
      </c>
      <c r="E3" s="10" t="s">
        <v>504</v>
      </c>
      <c r="F3" s="11" t="s">
        <v>505</v>
      </c>
    </row>
    <row r="4" customFormat="false" ht="15" hidden="false" customHeight="false" outlineLevel="0" collapsed="false">
      <c r="A4" s="10" t="n">
        <v>3</v>
      </c>
      <c r="B4" s="11" t="s">
        <v>420</v>
      </c>
      <c r="C4" s="10" t="s">
        <v>506</v>
      </c>
      <c r="D4" s="11" t="s">
        <v>507</v>
      </c>
      <c r="E4" s="10"/>
      <c r="F4" s="11" t="s">
        <v>508</v>
      </c>
    </row>
    <row r="5" customFormat="false" ht="15" hidden="false" customHeight="false" outlineLevel="0" collapsed="false">
      <c r="A5" s="10" t="n">
        <v>4</v>
      </c>
      <c r="B5" s="11" t="s">
        <v>420</v>
      </c>
      <c r="C5" s="10" t="s">
        <v>509</v>
      </c>
      <c r="D5" s="11" t="s">
        <v>510</v>
      </c>
      <c r="E5" s="10"/>
      <c r="F5" s="11" t="s">
        <v>511</v>
      </c>
    </row>
    <row r="6" customFormat="false" ht="15" hidden="false" customHeight="false" outlineLevel="0" collapsed="false">
      <c r="A6" s="10" t="n">
        <v>5</v>
      </c>
      <c r="B6" s="11" t="s">
        <v>424</v>
      </c>
      <c r="C6" s="10" t="s">
        <v>512</v>
      </c>
      <c r="D6" s="11" t="s">
        <v>513</v>
      </c>
      <c r="E6" s="10" t="s">
        <v>514</v>
      </c>
      <c r="F6" s="10"/>
    </row>
    <row r="7" customFormat="false" ht="15" hidden="false" customHeight="false" outlineLevel="0" collapsed="false">
      <c r="A7" s="10" t="n">
        <v>6</v>
      </c>
      <c r="B7" s="11" t="s">
        <v>424</v>
      </c>
      <c r="C7" s="10" t="s">
        <v>515</v>
      </c>
      <c r="D7" s="11" t="s">
        <v>516</v>
      </c>
      <c r="E7" s="10" t="s">
        <v>517</v>
      </c>
      <c r="F7" s="11" t="s">
        <v>518</v>
      </c>
    </row>
    <row r="8" customFormat="false" ht="15" hidden="false" customHeight="false" outlineLevel="0" collapsed="false">
      <c r="A8" s="10" t="n">
        <v>7</v>
      </c>
      <c r="B8" s="11" t="s">
        <v>424</v>
      </c>
      <c r="C8" s="10" t="s">
        <v>519</v>
      </c>
      <c r="D8" s="11" t="s">
        <v>520</v>
      </c>
      <c r="E8" s="10"/>
      <c r="F8" s="11" t="s">
        <v>521</v>
      </c>
    </row>
    <row r="9" customFormat="false" ht="15" hidden="false" customHeight="false" outlineLevel="0" collapsed="false">
      <c r="A9" s="10" t="n">
        <v>8</v>
      </c>
      <c r="B9" s="11" t="s">
        <v>424</v>
      </c>
      <c r="C9" s="10" t="s">
        <v>522</v>
      </c>
      <c r="D9" s="11" t="s">
        <v>523</v>
      </c>
      <c r="E9" s="10" t="s">
        <v>524</v>
      </c>
      <c r="F9" s="10"/>
    </row>
    <row r="10" customFormat="false" ht="15" hidden="false" customHeight="false" outlineLevel="0" collapsed="false">
      <c r="A10" s="10" t="n">
        <v>9</v>
      </c>
      <c r="B10" s="11" t="s">
        <v>424</v>
      </c>
      <c r="C10" s="10" t="s">
        <v>525</v>
      </c>
      <c r="D10" s="11" t="s">
        <v>526</v>
      </c>
      <c r="E10" s="10" t="s">
        <v>527</v>
      </c>
      <c r="F10" s="10" t="s">
        <v>528</v>
      </c>
    </row>
    <row r="11" customFormat="false" ht="15" hidden="false" customHeight="false" outlineLevel="0" collapsed="false">
      <c r="A11" s="10" t="n">
        <v>10</v>
      </c>
      <c r="B11" s="11" t="s">
        <v>424</v>
      </c>
      <c r="C11" s="10" t="s">
        <v>529</v>
      </c>
      <c r="D11" s="11" t="s">
        <v>242</v>
      </c>
      <c r="E11" s="10" t="s">
        <v>530</v>
      </c>
      <c r="F11" s="10"/>
    </row>
    <row r="12" customFormat="false" ht="15" hidden="false" customHeight="false" outlineLevel="0" collapsed="false">
      <c r="A12" s="10" t="n">
        <v>11</v>
      </c>
      <c r="B12" s="11" t="s">
        <v>381</v>
      </c>
      <c r="C12" s="10" t="s">
        <v>531</v>
      </c>
      <c r="D12" s="11" t="s">
        <v>532</v>
      </c>
      <c r="E12" s="10"/>
      <c r="F12" s="11" t="s">
        <v>533</v>
      </c>
    </row>
    <row r="13" customFormat="false" ht="15" hidden="false" customHeight="false" outlineLevel="0" collapsed="false">
      <c r="A13" s="10" t="n">
        <v>12</v>
      </c>
      <c r="B13" s="11" t="s">
        <v>381</v>
      </c>
      <c r="C13" s="10" t="s">
        <v>534</v>
      </c>
      <c r="D13" s="11" t="s">
        <v>535</v>
      </c>
      <c r="E13" s="10"/>
      <c r="F13" s="11" t="s">
        <v>536</v>
      </c>
    </row>
    <row r="14" customFormat="false" ht="15" hidden="false" customHeight="false" outlineLevel="0" collapsed="false">
      <c r="A14" s="10" t="n">
        <v>13</v>
      </c>
      <c r="B14" s="11" t="s">
        <v>381</v>
      </c>
      <c r="C14" s="10" t="s">
        <v>537</v>
      </c>
      <c r="D14" s="11" t="s">
        <v>538</v>
      </c>
      <c r="E14" s="10"/>
      <c r="F14" s="10" t="s">
        <v>539</v>
      </c>
    </row>
    <row r="15" customFormat="false" ht="15" hidden="false" customHeight="false" outlineLevel="0" collapsed="false">
      <c r="A15" s="10" t="n">
        <v>14</v>
      </c>
      <c r="B15" s="11" t="s">
        <v>398</v>
      </c>
      <c r="C15" s="10" t="s">
        <v>540</v>
      </c>
      <c r="D15" s="11" t="s">
        <v>541</v>
      </c>
      <c r="E15" s="10"/>
      <c r="F15" s="11" t="s">
        <v>542</v>
      </c>
    </row>
    <row r="16" customFormat="false" ht="15" hidden="false" customHeight="false" outlineLevel="0" collapsed="false">
      <c r="A16" s="10" t="n">
        <v>15</v>
      </c>
      <c r="B16" s="11" t="s">
        <v>398</v>
      </c>
      <c r="C16" s="10" t="s">
        <v>195</v>
      </c>
      <c r="D16" s="11" t="s">
        <v>194</v>
      </c>
      <c r="E16" s="10"/>
      <c r="F16" s="11" t="s">
        <v>543</v>
      </c>
    </row>
    <row r="17" customFormat="false" ht="15" hidden="false" customHeight="false" outlineLevel="0" collapsed="false">
      <c r="A17" s="10" t="n">
        <v>16</v>
      </c>
      <c r="B17" s="11" t="s">
        <v>398</v>
      </c>
      <c r="C17" s="10" t="s">
        <v>544</v>
      </c>
      <c r="D17" s="11" t="s">
        <v>545</v>
      </c>
      <c r="E17" s="10"/>
      <c r="F17" s="11" t="s">
        <v>546</v>
      </c>
    </row>
    <row r="18" customFormat="false" ht="15" hidden="false" customHeight="false" outlineLevel="0" collapsed="false">
      <c r="A18" s="10" t="n">
        <v>17</v>
      </c>
      <c r="B18" s="11" t="s">
        <v>398</v>
      </c>
      <c r="C18" s="10" t="s">
        <v>547</v>
      </c>
      <c r="D18" s="11" t="s">
        <v>548</v>
      </c>
      <c r="E18" s="10"/>
      <c r="F18" s="11" t="s">
        <v>549</v>
      </c>
    </row>
    <row r="19" customFormat="false" ht="15" hidden="false" customHeight="false" outlineLevel="0" collapsed="false">
      <c r="A19" s="10" t="n">
        <v>18</v>
      </c>
      <c r="B19" s="11" t="s">
        <v>398</v>
      </c>
      <c r="C19" s="10" t="s">
        <v>550</v>
      </c>
      <c r="D19" s="11" t="s">
        <v>551</v>
      </c>
      <c r="E19" s="10"/>
      <c r="F19" s="11" t="s">
        <v>552</v>
      </c>
    </row>
    <row r="20" customFormat="false" ht="15" hidden="false" customHeight="false" outlineLevel="0" collapsed="false">
      <c r="A20" s="10" t="n">
        <v>19</v>
      </c>
      <c r="B20" s="11" t="s">
        <v>398</v>
      </c>
      <c r="C20" s="10" t="s">
        <v>553</v>
      </c>
      <c r="D20" s="11" t="s">
        <v>554</v>
      </c>
      <c r="E20" s="10"/>
      <c r="F20" s="11" t="s">
        <v>542</v>
      </c>
    </row>
    <row r="21" customFormat="false" ht="15" hidden="false" customHeight="false" outlineLevel="0" collapsed="false">
      <c r="A21" s="10" t="n">
        <v>20</v>
      </c>
      <c r="B21" s="11" t="s">
        <v>398</v>
      </c>
      <c r="C21" s="10" t="s">
        <v>555</v>
      </c>
      <c r="D21" s="11" t="s">
        <v>556</v>
      </c>
      <c r="E21" s="10"/>
      <c r="F21" s="11" t="s">
        <v>557</v>
      </c>
    </row>
    <row r="22" customFormat="false" ht="15" hidden="false" customHeight="false" outlineLevel="0" collapsed="false">
      <c r="A22" s="10" t="n">
        <v>21</v>
      </c>
      <c r="B22" s="11" t="s">
        <v>398</v>
      </c>
      <c r="C22" s="10" t="s">
        <v>180</v>
      </c>
      <c r="D22" s="11" t="s">
        <v>558</v>
      </c>
      <c r="E22" s="10"/>
      <c r="F22" s="11" t="s">
        <v>559</v>
      </c>
    </row>
    <row r="23" customFormat="false" ht="15" hidden="false" customHeight="false" outlineLevel="0" collapsed="false">
      <c r="A23" s="10" t="n">
        <v>22</v>
      </c>
      <c r="B23" s="11" t="s">
        <v>398</v>
      </c>
      <c r="C23" s="10" t="s">
        <v>560</v>
      </c>
      <c r="D23" s="11" t="s">
        <v>561</v>
      </c>
      <c r="E23" s="10"/>
      <c r="F23" s="11" t="s">
        <v>562</v>
      </c>
    </row>
    <row r="24" customFormat="false" ht="15" hidden="false" customHeight="false" outlineLevel="0" collapsed="false">
      <c r="A24" s="10" t="n">
        <v>23</v>
      </c>
      <c r="B24" s="11" t="s">
        <v>398</v>
      </c>
      <c r="C24" s="10" t="s">
        <v>563</v>
      </c>
      <c r="D24" s="11" t="s">
        <v>564</v>
      </c>
      <c r="E24" s="10"/>
      <c r="F24" s="11" t="s">
        <v>565</v>
      </c>
    </row>
    <row r="25" customFormat="false" ht="15" hidden="false" customHeight="false" outlineLevel="0" collapsed="false">
      <c r="A25" s="10" t="n">
        <v>24</v>
      </c>
      <c r="B25" s="11" t="s">
        <v>408</v>
      </c>
      <c r="C25" s="10" t="s">
        <v>566</v>
      </c>
      <c r="D25" s="11" t="s">
        <v>567</v>
      </c>
      <c r="E25" s="10"/>
      <c r="F25" s="10"/>
    </row>
    <row r="26" customFormat="false" ht="15" hidden="false" customHeight="false" outlineLevel="0" collapsed="false">
      <c r="A26" s="10" t="n">
        <v>25</v>
      </c>
      <c r="B26" s="11" t="s">
        <v>408</v>
      </c>
      <c r="C26" s="10" t="s">
        <v>568</v>
      </c>
      <c r="D26" s="11" t="s">
        <v>569</v>
      </c>
      <c r="E26" s="10"/>
      <c r="F26" s="10"/>
    </row>
    <row r="27" customFormat="false" ht="15" hidden="false" customHeight="false" outlineLevel="0" collapsed="false">
      <c r="A27" s="10" t="n">
        <v>26</v>
      </c>
      <c r="B27" s="11" t="s">
        <v>408</v>
      </c>
      <c r="C27" s="10" t="s">
        <v>570</v>
      </c>
      <c r="D27" s="11" t="s">
        <v>571</v>
      </c>
      <c r="E27" s="10"/>
      <c r="F27" s="10"/>
    </row>
    <row r="28" customFormat="false" ht="15" hidden="false" customHeight="false" outlineLevel="0" collapsed="false">
      <c r="A28" s="10" t="n">
        <v>27</v>
      </c>
      <c r="B28" s="11" t="s">
        <v>408</v>
      </c>
      <c r="C28" s="10" t="s">
        <v>572</v>
      </c>
      <c r="D28" s="11" t="s">
        <v>573</v>
      </c>
      <c r="E28" s="10"/>
      <c r="F28" s="10" t="s">
        <v>411</v>
      </c>
    </row>
    <row r="29" customFormat="false" ht="15" hidden="false" customHeight="false" outlineLevel="0" collapsed="false">
      <c r="A29" s="10" t="n">
        <v>28</v>
      </c>
      <c r="B29" s="11" t="s">
        <v>408</v>
      </c>
      <c r="C29" s="10" t="s">
        <v>574</v>
      </c>
      <c r="D29" s="11" t="s">
        <v>575</v>
      </c>
      <c r="E29" s="10"/>
      <c r="F29" s="11" t="s">
        <v>576</v>
      </c>
    </row>
    <row r="30" customFormat="false" ht="15" hidden="false" customHeight="false" outlineLevel="0" collapsed="false">
      <c r="A30" s="10" t="n">
        <v>29</v>
      </c>
      <c r="B30" s="11" t="s">
        <v>484</v>
      </c>
      <c r="C30" s="10" t="s">
        <v>577</v>
      </c>
      <c r="D30" s="11" t="s">
        <v>578</v>
      </c>
      <c r="E30" s="10" t="s">
        <v>579</v>
      </c>
      <c r="F30" s="10"/>
    </row>
    <row r="31" customFormat="false" ht="15" hidden="false" customHeight="false" outlineLevel="0" collapsed="false">
      <c r="A31" s="10" t="n">
        <v>30</v>
      </c>
      <c r="B31" s="11" t="s">
        <v>484</v>
      </c>
      <c r="C31" s="10" t="s">
        <v>580</v>
      </c>
      <c r="D31" s="11" t="s">
        <v>581</v>
      </c>
      <c r="E31" s="10" t="s">
        <v>582</v>
      </c>
      <c r="F31" s="10"/>
    </row>
    <row r="32" customFormat="false" ht="15" hidden="false" customHeight="false" outlineLevel="0" collapsed="false">
      <c r="A32" s="10" t="n">
        <v>31</v>
      </c>
      <c r="B32" s="11" t="s">
        <v>484</v>
      </c>
      <c r="C32" s="10" t="s">
        <v>583</v>
      </c>
      <c r="D32" s="11" t="s">
        <v>584</v>
      </c>
      <c r="E32" s="10" t="s">
        <v>585</v>
      </c>
      <c r="F32" s="11" t="s">
        <v>586</v>
      </c>
    </row>
    <row r="33" customFormat="false" ht="15" hidden="false" customHeight="false" outlineLevel="0" collapsed="false">
      <c r="A33" s="10" t="n">
        <v>32</v>
      </c>
      <c r="B33" s="11" t="s">
        <v>484</v>
      </c>
      <c r="C33" s="10" t="s">
        <v>587</v>
      </c>
      <c r="D33" s="11" t="s">
        <v>588</v>
      </c>
      <c r="E33" s="10" t="s">
        <v>589</v>
      </c>
      <c r="F33" s="10"/>
    </row>
    <row r="34" customFormat="false" ht="15" hidden="false" customHeight="false" outlineLevel="0" collapsed="false">
      <c r="A34" s="10" t="n">
        <v>33</v>
      </c>
      <c r="B34" s="11" t="s">
        <v>484</v>
      </c>
      <c r="C34" s="10" t="s">
        <v>590</v>
      </c>
      <c r="D34" s="11" t="s">
        <v>591</v>
      </c>
      <c r="E34" s="10"/>
      <c r="F34" s="11" t="s">
        <v>592</v>
      </c>
    </row>
    <row r="35" customFormat="false" ht="15" hidden="false" customHeight="false" outlineLevel="0" collapsed="false">
      <c r="A35" s="10" t="n">
        <v>34</v>
      </c>
      <c r="B35" s="11" t="s">
        <v>304</v>
      </c>
      <c r="C35" s="10" t="s">
        <v>593</v>
      </c>
      <c r="D35" s="11" t="s">
        <v>594</v>
      </c>
      <c r="E35" s="10" t="s">
        <v>595</v>
      </c>
      <c r="F35" s="10"/>
    </row>
    <row r="36" customFormat="false" ht="15" hidden="false" customHeight="false" outlineLevel="0" collapsed="false">
      <c r="A36" s="10" t="n">
        <v>35</v>
      </c>
      <c r="B36" s="11" t="s">
        <v>304</v>
      </c>
      <c r="C36" s="10" t="s">
        <v>499</v>
      </c>
      <c r="D36" s="11" t="s">
        <v>152</v>
      </c>
      <c r="E36" s="10"/>
      <c r="F36" s="10"/>
    </row>
  </sheetData>
  <autoFilter ref="A1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0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6" t="s">
        <v>21</v>
      </c>
      <c r="B1" s="7" t="s">
        <v>596</v>
      </c>
      <c r="C1" s="7" t="s">
        <v>597</v>
      </c>
      <c r="D1" s="7" t="s">
        <v>182</v>
      </c>
    </row>
    <row r="2" customFormat="false" ht="29.85" hidden="false" customHeight="false" outlineLevel="0" collapsed="false">
      <c r="A2" s="10" t="n">
        <v>1</v>
      </c>
      <c r="B2" s="11" t="s">
        <v>598</v>
      </c>
      <c r="C2" s="11" t="s">
        <v>390</v>
      </c>
      <c r="D2" s="10" t="s">
        <v>599</v>
      </c>
    </row>
    <row r="3" customFormat="false" ht="29.85" hidden="false" customHeight="false" outlineLevel="0" collapsed="false">
      <c r="A3" s="10" t="n">
        <v>2</v>
      </c>
      <c r="B3" s="11" t="s">
        <v>600</v>
      </c>
      <c r="C3" s="11" t="s">
        <v>443</v>
      </c>
      <c r="D3" s="10" t="s">
        <v>601</v>
      </c>
    </row>
    <row r="4" customFormat="false" ht="29.85" hidden="false" customHeight="false" outlineLevel="0" collapsed="false">
      <c r="A4" s="10" t="n">
        <v>3</v>
      </c>
      <c r="B4" s="11" t="s">
        <v>602</v>
      </c>
      <c r="C4" s="11" t="s">
        <v>447</v>
      </c>
      <c r="D4" s="11" t="s">
        <v>603</v>
      </c>
    </row>
  </sheetData>
  <autoFilter ref="A1:D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2026-09-25T07:23:29Z</dcterms:created>
  <dc:creator>openpyxl</dc:creator>
  <dc:description/>
  <dc:language>en-US</dc:language>
  <cp:lastModifiedBy/>
  <dcterms:modified xsi:type="dcterms:W3CDTF">2026-09-25T07:23:29Z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